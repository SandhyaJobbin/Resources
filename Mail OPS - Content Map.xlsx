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urriculum map" sheetId="2" state="visible" r:id="rId4"/>
    <sheet name="Quip articles" sheetId="3" state="visible" r:id="rId5"/>
    <sheet name="LMS items" sheetId="4" state="visible" r:id="rId6"/>
    <sheet name="Training Kit" sheetId="5" state="visible" r:id="rId7"/>
  </sheets>
  <definedNames>
    <definedName function="false" hidden="true" localSheetId="1" name="_xlnm._FilterDatabase" vbProcedure="false">'Curriculum map'!$A$4:$K$4</definedName>
    <definedName function="false" hidden="true" localSheetId="3" name="_xlnm._FilterDatabase" vbProcedure="false">'LMS items'!$A$4:$J$4</definedName>
    <definedName function="false" hidden="true" localSheetId="2" name="_xlnm._FilterDatabase" vbProcedure="false">'Quip articles'!$A$4:$O$4</definedName>
    <definedName function="false" hidden="true" localSheetId="4" name="_xlnm._FilterDatabase" vbProcedure="false">'Training Kit'!$A$4:$H$4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<sst xmlns="http://schemas.openxmlformats.org/spreadsheetml/2006/main" count="1580" uniqueCount="579">
  <si>
    <t xml:space="preserve">Mail OPS content map: what has to be written and built</t>
  </si>
  <si>
    <t xml:space="preserve">Maps every topic of the 15-day curriculum to its LMS item, Quip articles and Training Kit items. Counts below are formulas over the other sheets and update as you change statuses.</t>
  </si>
  <si>
    <t xml:space="preserve">Quip articles by type and week first needed</t>
  </si>
  <si>
    <t xml:space="preserve">Article type</t>
  </si>
  <si>
    <t xml:space="preserve">Week 1</t>
  </si>
  <si>
    <t xml:space="preserve">Week 2</t>
  </si>
  <si>
    <t xml:space="preserve">Week 3</t>
  </si>
  <si>
    <t xml:space="preserve">Hub</t>
  </si>
  <si>
    <t xml:space="preserve">Concept</t>
  </si>
  <si>
    <t xml:space="preserve">Workflow / SOP</t>
  </si>
  <si>
    <t xml:space="preserve">Tool Guide</t>
  </si>
  <si>
    <t xml:space="preserve">Decision Guide</t>
  </si>
  <si>
    <t xml:space="preserve">Reference</t>
  </si>
  <si>
    <t xml:space="preserve">Change Log</t>
  </si>
  <si>
    <t xml:space="preserve">Total</t>
  </si>
  <si>
    <t xml:space="preserve">Writing progress</t>
  </si>
  <si>
    <t xml:space="preserve">Status</t>
  </si>
  <si>
    <t xml:space="preserve">Quip articles</t>
  </si>
  <si>
    <t xml:space="preserve">LMS items</t>
  </si>
  <si>
    <t xml:space="preserve">Training Kit</t>
  </si>
  <si>
    <t xml:space="preserve">Not started</t>
  </si>
  <si>
    <t xml:space="preserve">Drafting</t>
  </si>
  <si>
    <t xml:space="preserve">Storyboarding</t>
  </si>
  <si>
    <t xml:space="preserve">In review</t>
  </si>
  <si>
    <t xml:space="preserve">Approved</t>
  </si>
  <si>
    <t xml:space="preserve">Built</t>
  </si>
  <si>
    <t xml:space="preserve">Published</t>
  </si>
  <si>
    <t xml:space="preserve">LMS and Training Kit items by type</t>
  </si>
  <si>
    <t xml:space="preserve">Item type</t>
  </si>
  <si>
    <t xml:space="preserve">Count</t>
  </si>
  <si>
    <t xml:space="preserve">Module</t>
  </si>
  <si>
    <t xml:space="preserve">Check-only module</t>
  </si>
  <si>
    <t xml:space="preserve">Assessment</t>
  </si>
  <si>
    <t xml:space="preserve">Trainer Guide</t>
  </si>
  <si>
    <t xml:space="preserve">Hands-on Activity</t>
  </si>
  <si>
    <t xml:space="preserve">How to use this workbook</t>
  </si>
  <si>
    <t xml:space="preserve">Curriculum map</t>
  </si>
  <si>
    <t xml:space="preserve">Start here to see what each curriculum row becomes. Edit only if the curriculum changes.</t>
  </si>
  <si>
    <t xml:space="preserve">The writing backlog, in the order articles are first needed. Fill in the yellow columns: legacy triage result, legacy link, owner, writer, status.</t>
  </si>
  <si>
    <t xml:space="preserve">Every module, check-only module and assessment, with the articles it links to. Adjust planned questions and status in the yellow columns.</t>
  </si>
  <si>
    <t xml:space="preserve">Trainer Guides and Hands-on Activities for the restricted folder. Fill in owner and status.</t>
  </si>
  <si>
    <t xml:space="preserve">Yellow cells</t>
  </si>
  <si>
    <t xml:space="preserve">Inputs for you to fill in. Everything else is the plan, or a formula.</t>
  </si>
  <si>
    <t xml:space="preserve">Decisions, gaps and assumptions</t>
  </si>
  <si>
    <t xml:space="preserve">Scope</t>
  </si>
  <si>
    <t xml:space="preserve">Every topic row of the 15-day curriculum is mapped. Daily recaps and wrap-ups are not listed row by row; one Trainer Guide (TG-GEN-recap-wrap) covers how to run them.</t>
  </si>
  <si>
    <t xml:space="preserve">LMS modules</t>
  </si>
  <si>
    <t xml:space="preserve">SPL and Blended rows each become one LMS module (M-Wn-nn), numbered in curriculum order within each week.</t>
  </si>
  <si>
    <t xml:space="preserve">Decision to confirm</t>
  </si>
  <si>
    <t xml:space="preserve">SME-led ILT sessions that carry core process content (URL/SUPs, outbound abuse types, account actions, campaigns) get a check-only LMS module: reading tasks plus a comprehension check, no teaching blocks. The guidelines pack says ILT rows are attendance only; this is a proposed exception so these topics are not tested for the first time on Day 10.</t>
  </si>
  <si>
    <t xml:space="preserve">Cross-area casework articles (end-to-end case handling, root cause codes, Radar hand-off, escalation contacts) are filed in 00 Start Here with GEN IDs, because they apply to inbound, outbound and Postmaster alike.</t>
  </si>
  <si>
    <t xml:space="preserve">Gap</t>
  </si>
  <si>
    <t xml:space="preserve">The Day 15 practical includes an inbound triage case, but no curriculum session teaches inbound triage beyond 'Actioning a case' (KA-GEN-005). SME to confirm whether KA-GEN-005 is enough or an inbound triage Workflow (KA-IN-003) is needed.</t>
  </si>
  <si>
    <t xml:space="preserve">URL/SUP (KA-IN-001) is still undefined in the source material. Its type, scope and timing depend on the SME.</t>
  </si>
  <si>
    <t xml:space="preserve">ID change</t>
  </si>
  <si>
    <t xml:space="preserve">The worked examples in the guidelines pack and the two example docs call the Heimdall module M-W1-07. In curriculum order it is M-W1-06. Update the examples if you keep this numbering.</t>
  </si>
  <si>
    <t xml:space="preserve">Legacy</t>
  </si>
  <si>
    <t xml:space="preserve">Every article starts as 'To triage'. During legacy triage, set it to New, Keep, or Merge from legacy, and record the legacy link.</t>
  </si>
  <si>
    <t xml:space="preserve">Assessments</t>
  </si>
  <si>
    <t xml:space="preserve">A-D06 (Week 1 knowledge check), A-D10 (Week 2 practical) and A-D15 (final certification) draw questions from the articles tested that week. Their question counts are set in the LMS items sheet.</t>
  </si>
  <si>
    <t xml:space="preserve">Source</t>
  </si>
  <si>
    <t xml:space="preserve">Source material refers to the Module 1 learning guide sections used in the curriculum, and to the SME inputs list in the curriculum workbook.</t>
  </si>
  <si>
    <t xml:space="preserve">Content map: 15-day curriculum to LMS, Quip and Training Kit</t>
  </si>
  <si>
    <t xml:space="preserve">One row per curriculum topic. Daily recaps and wrap-ups are run from TG-GEN-recap-wrap and are not listed. IDs follow the guidelines pack; see Read me for decisions to confirm.</t>
  </si>
  <si>
    <t xml:space="preserve">Day</t>
  </si>
  <si>
    <t xml:space="preserve">Week</t>
  </si>
  <si>
    <t xml:space="preserve">Curriculum topic</t>
  </si>
  <si>
    <t xml:space="preserve">Modality</t>
  </si>
  <si>
    <t xml:space="preserve">Mins</t>
  </si>
  <si>
    <t xml:space="preserve">LMS item</t>
  </si>
  <si>
    <t xml:space="preserve">LMS item type</t>
  </si>
  <si>
    <t xml:space="preserve">Content readiness</t>
  </si>
  <si>
    <t xml:space="preserve">Team Mission &amp; Objectives - Mail OPS</t>
  </si>
  <si>
    <t xml:space="preserve">SPL</t>
  </si>
  <si>
    <t xml:space="preserve">M-W1-01</t>
  </si>
  <si>
    <t xml:space="preserve">KA-FND-001</t>
  </si>
  <si>
    <t xml:space="preserve">Partly ready – SME to add</t>
  </si>
  <si>
    <t xml:space="preserve">Privacy principles and data handling boundaries</t>
  </si>
  <si>
    <t xml:space="preserve">M-W1-02</t>
  </si>
  <si>
    <t xml:space="preserve">KA-FND-002</t>
  </si>
  <si>
    <t xml:space="preserve">iCloud and iCloud Mail</t>
  </si>
  <si>
    <t xml:space="preserve">M-W1-03</t>
  </si>
  <si>
    <t xml:space="preserve">KA-FND-003</t>
  </si>
  <si>
    <t xml:space="preserve">Ready – Module 1 guide</t>
  </si>
  <si>
    <t xml:space="preserve">iCloud+ mail features</t>
  </si>
  <si>
    <t xml:space="preserve">M-W1-04</t>
  </si>
  <si>
    <t xml:space="preserve">KA-FND-004</t>
  </si>
  <si>
    <t xml:space="preserve">Hands on: iCloud and iCloud+ Mail</t>
  </si>
  <si>
    <t xml:space="preserve">Activity</t>
  </si>
  <si>
    <t xml:space="preserve">None</t>
  </si>
  <si>
    <t xml:space="preserve">Attendance only</t>
  </si>
  <si>
    <t xml:space="preserve">KA-FND-003, KA-FND-004</t>
  </si>
  <si>
    <t xml:space="preserve">TG-D01-icloud-handson</t>
  </si>
  <si>
    <t xml:space="preserve">HA-FND-001</t>
  </si>
  <si>
    <t xml:space="preserve">Ops to arrange</t>
  </si>
  <si>
    <t xml:space="preserve">Mail flow architecture</t>
  </si>
  <si>
    <t xml:space="preserve">Blended</t>
  </si>
  <si>
    <t xml:space="preserve">M-W1-05</t>
  </si>
  <si>
    <t xml:space="preserve">KA-FND-005</t>
  </si>
  <si>
    <t xml:space="preserve">TG-M-W1-05</t>
  </si>
  <si>
    <t xml:space="preserve">Tool Overview: Heimdall</t>
  </si>
  <si>
    <t xml:space="preserve">M-W1-06</t>
  </si>
  <si>
    <t xml:space="preserve">KA-TOOL-002, KA-FND-006, KA-OUT-020, KA-OUT-021</t>
  </si>
  <si>
    <t xml:space="preserve">Tool Walkthrough: Heimdall</t>
  </si>
  <si>
    <t xml:space="preserve">ILT</t>
  </si>
  <si>
    <t xml:space="preserve">KA-TOOL-002, KA-OUT-020, KA-OUT-022</t>
  </si>
  <si>
    <t xml:space="preserve">TG-D02-heimdall-walkthrough</t>
  </si>
  <si>
    <t xml:space="preserve">HA-TOOL-002</t>
  </si>
  <si>
    <t xml:space="preserve">SME to provide</t>
  </si>
  <si>
    <t xml:space="preserve">URL/SUPs</t>
  </si>
  <si>
    <t xml:space="preserve">M-W1-07</t>
  </si>
  <si>
    <t xml:space="preserve">KA-IN-001</t>
  </si>
  <si>
    <t xml:space="preserve">TG-D02-url-sups</t>
  </si>
  <si>
    <t xml:space="preserve">Hands on: URL/SUPs</t>
  </si>
  <si>
    <t xml:space="preserve">HA-IN-001</t>
  </si>
  <si>
    <t xml:space="preserve">Tools overview - part 1 (Splunk) - Investigate</t>
  </si>
  <si>
    <t xml:space="preserve">M-W1-08</t>
  </si>
  <si>
    <t xml:space="preserve">KA-TOOL-003, KA-TOOL-004</t>
  </si>
  <si>
    <t xml:space="preserve">TG-M-W1-08</t>
  </si>
  <si>
    <t xml:space="preserve">Hands on: Splunk</t>
  </si>
  <si>
    <t xml:space="preserve">KA-TOOL-004</t>
  </si>
  <si>
    <t xml:space="preserve">HA-TOOL-001</t>
  </si>
  <si>
    <t xml:space="preserve">Tools overview - part 1 (Sonar) - Investigate</t>
  </si>
  <si>
    <t xml:space="preserve">M-W1-09</t>
  </si>
  <si>
    <t xml:space="preserve">KA-TOOL-005, KA-GEN-006</t>
  </si>
  <si>
    <t xml:space="preserve">Hands on: Sonar</t>
  </si>
  <si>
    <t xml:space="preserve">TG-D03-sonar-handson</t>
  </si>
  <si>
    <t xml:space="preserve">HA-TOOL-003</t>
  </si>
  <si>
    <t xml:space="preserve">Tools overview - part 2 (Proofpoint, Bazooka, Gattler) - Mitigate</t>
  </si>
  <si>
    <t xml:space="preserve">M-W1-10</t>
  </si>
  <si>
    <t xml:space="preserve">KA-TOOL-006, KA-TOOL-007, KA-TOOL-008</t>
  </si>
  <si>
    <t xml:space="preserve">TG-M-W1-10</t>
  </si>
  <si>
    <t xml:space="preserve">Tools overview - part 3 (Radar, Slack, Quip) - Engineer</t>
  </si>
  <si>
    <t xml:space="preserve">M-W1-11</t>
  </si>
  <si>
    <t xml:space="preserve">KA-TOOL-009, KA-TOOL-010</t>
  </si>
  <si>
    <t xml:space="preserve">Tools overview - part 4 (Khiron, iHawk) - Other tools</t>
  </si>
  <si>
    <t xml:space="preserve">M-W1-12</t>
  </si>
  <si>
    <t xml:space="preserve">KA-TOOL-011, KA-TOOL-012</t>
  </si>
  <si>
    <t xml:space="preserve">Hands on: Tools by stage</t>
  </si>
  <si>
    <t xml:space="preserve">KA-TOOL-001</t>
  </si>
  <si>
    <t xml:space="preserve">TG-D04-tools-by-stage</t>
  </si>
  <si>
    <t xml:space="preserve">HA-TOOL-004</t>
  </si>
  <si>
    <t xml:space="preserve">Trainer to build</t>
  </si>
  <si>
    <t xml:space="preserve">The 14-stage milter chain</t>
  </si>
  <si>
    <t xml:space="preserve">M-W1-13</t>
  </si>
  <si>
    <t xml:space="preserve">KA-FND-007</t>
  </si>
  <si>
    <t xml:space="preserve">TG-M-W1-13</t>
  </si>
  <si>
    <t xml:space="preserve">Hands on: Header analysis with samples</t>
  </si>
  <si>
    <t xml:space="preserve">KA-FND-008, KA-FND-007</t>
  </si>
  <si>
    <t xml:space="preserve">TG-D04-header-analysis</t>
  </si>
  <si>
    <t xml:space="preserve">HA-FND-002</t>
  </si>
  <si>
    <t xml:space="preserve">Inbound Mail Flow: Deep Dive</t>
  </si>
  <si>
    <t xml:space="preserve">M-W1-14</t>
  </si>
  <si>
    <t xml:space="preserve">KA-FND-009</t>
  </si>
  <si>
    <t xml:space="preserve">TG-M-W1-14</t>
  </si>
  <si>
    <t xml:space="preserve">Hands on: Inbound mail tracing</t>
  </si>
  <si>
    <t xml:space="preserve">KA-IN-002</t>
  </si>
  <si>
    <t xml:space="preserve">TG-D05-inbound-tracing</t>
  </si>
  <si>
    <t xml:space="preserve">HA-IN-002</t>
  </si>
  <si>
    <t xml:space="preserve">Outbound Mail Flow: Deep Dive</t>
  </si>
  <si>
    <t xml:space="preserve">M-W1-15</t>
  </si>
  <si>
    <t xml:space="preserve">KA-FND-010</t>
  </si>
  <si>
    <t xml:space="preserve">TG-M-W1-15</t>
  </si>
  <si>
    <t xml:space="preserve">Hands on: Outbound mail tracing</t>
  </si>
  <si>
    <t xml:space="preserve">KA-OUT-001</t>
  </si>
  <si>
    <t xml:space="preserve">TG-D05-outbound-tracing</t>
  </si>
  <si>
    <t xml:space="preserve">HA-OUT-001</t>
  </si>
  <si>
    <t xml:space="preserve">Week 1 Knowledge Check</t>
  </si>
  <si>
    <t xml:space="preserve">A-D06</t>
  </si>
  <si>
    <t xml:space="preserve">TG-D06-knowledge-check</t>
  </si>
  <si>
    <t xml:space="preserve">Knowledge Check Review</t>
  </si>
  <si>
    <t xml:space="preserve">Our operating model: Identify, Mitigate, Engineer</t>
  </si>
  <si>
    <t xml:space="preserve">M-W2-01</t>
  </si>
  <si>
    <t xml:space="preserve">KA-FND-011</t>
  </si>
  <si>
    <t xml:space="preserve">TG-M-W2-01</t>
  </si>
  <si>
    <t xml:space="preserve">Abuse landscape</t>
  </si>
  <si>
    <t xml:space="preserve">M-W2-02</t>
  </si>
  <si>
    <t xml:space="preserve">KA-FND-012</t>
  </si>
  <si>
    <t xml:space="preserve">Abuse landscape in iCloud Outbound</t>
  </si>
  <si>
    <t xml:space="preserve">M-W2-03</t>
  </si>
  <si>
    <t xml:space="preserve">KA-OUT-002, KA-OUT-003</t>
  </si>
  <si>
    <t xml:space="preserve">TG-D06-outbound-abuse</t>
  </si>
  <si>
    <t xml:space="preserve">Types/Actions on accounts</t>
  </si>
  <si>
    <t xml:space="preserve">M-W2-04</t>
  </si>
  <si>
    <t xml:space="preserve">KA-OUT-010, KA-OUT-011</t>
  </si>
  <si>
    <t xml:space="preserve">TG-D07-account-actions</t>
  </si>
  <si>
    <t xml:space="preserve">Actioning a case</t>
  </si>
  <si>
    <t xml:space="preserve">M-W2-05</t>
  </si>
  <si>
    <t xml:space="preserve">KA-GEN-005, KA-GEN-006, KA-FND-013</t>
  </si>
  <si>
    <t xml:space="preserve">TG-M-W2-05</t>
  </si>
  <si>
    <t xml:space="preserve">Hands-on with sample accounts</t>
  </si>
  <si>
    <t xml:space="preserve">KA-OUT-010, KA-OUT-011, KA-OUT-012</t>
  </si>
  <si>
    <t xml:space="preserve">TG-D07-sample-accounts</t>
  </si>
  <si>
    <t xml:space="preserve">HA-OUT-002</t>
  </si>
  <si>
    <t xml:space="preserve">TG-D08-sample-accounts</t>
  </si>
  <si>
    <t xml:space="preserve">HA-OUT-003</t>
  </si>
  <si>
    <t xml:space="preserve">Trainer case review</t>
  </si>
  <si>
    <t xml:space="preserve">TG-D08-case-review</t>
  </si>
  <si>
    <t xml:space="preserve">Working with Postmaster</t>
  </si>
  <si>
    <t xml:space="preserve">M-W2-06</t>
  </si>
  <si>
    <t xml:space="preserve">KA-PM-001, KA-PM-002, KA-PM-003, KA-PM-004</t>
  </si>
  <si>
    <t xml:space="preserve">TG-M-W2-06</t>
  </si>
  <si>
    <t xml:space="preserve">Hands on: Postmaster cases</t>
  </si>
  <si>
    <t xml:space="preserve">KA-PM-002, KA-PM-003, KA-PM-004</t>
  </si>
  <si>
    <t xml:space="preserve">TG-D09-postmaster-handson</t>
  </si>
  <si>
    <t xml:space="preserve">HA-PM-001</t>
  </si>
  <si>
    <t xml:space="preserve">Other Ops workflow - Spike in user spam reports</t>
  </si>
  <si>
    <t xml:space="preserve">M-W2-07</t>
  </si>
  <si>
    <t xml:space="preserve">KA-PB-001</t>
  </si>
  <si>
    <t xml:space="preserve">TG-M-W2-07</t>
  </si>
  <si>
    <t xml:space="preserve">Other Ops workflow - Outbound abuse</t>
  </si>
  <si>
    <t xml:space="preserve">M-W2-08</t>
  </si>
  <si>
    <t xml:space="preserve">KA-PB-002</t>
  </si>
  <si>
    <t xml:space="preserve">TG-M-W2-08</t>
  </si>
  <si>
    <t xml:space="preserve">Hands on: Postmaster and triage scenarios</t>
  </si>
  <si>
    <t xml:space="preserve">KA-PM-002, KA-PB-001, KA-PB-002</t>
  </si>
  <si>
    <t xml:space="preserve">TG-D10-scenarios</t>
  </si>
  <si>
    <t xml:space="preserve">HA-PB-001</t>
  </si>
  <si>
    <t xml:space="preserve">Week 2 Practical Assessment</t>
  </si>
  <si>
    <t xml:space="preserve">A-D10</t>
  </si>
  <si>
    <t xml:space="preserve">TG-D10-assessment</t>
  </si>
  <si>
    <t xml:space="preserve">Assessment Debrief</t>
  </si>
  <si>
    <t xml:space="preserve">Identifying and actioning on campaigns</t>
  </si>
  <si>
    <t xml:space="preserve">M-W3-01</t>
  </si>
  <si>
    <t xml:space="preserve">KA-OUT-023, KA-OUT-024, KA-OUT-020, KA-OUT-021</t>
  </si>
  <si>
    <t xml:space="preserve">TG-D11-campaigns</t>
  </si>
  <si>
    <t xml:space="preserve">Hands on: Campaigns</t>
  </si>
  <si>
    <t xml:space="preserve">KA-OUT-023, KA-OUT-024, KA-TOOL-004</t>
  </si>
  <si>
    <t xml:space="preserve">HA-OUT-004</t>
  </si>
  <si>
    <t xml:space="preserve">Engineering hand-off: writing a Radar</t>
  </si>
  <si>
    <t xml:space="preserve">M-W3-02</t>
  </si>
  <si>
    <t xml:space="preserve">KA-GEN-007, KA-TOOL-009</t>
  </si>
  <si>
    <t xml:space="preserve">Outbound Hands-on</t>
  </si>
  <si>
    <t xml:space="preserve">KA-OUT-003, KA-OUT-010, KA-OUT-011, KA-PB-002</t>
  </si>
  <si>
    <t xml:space="preserve">TG-D12-outbound-handson</t>
  </si>
  <si>
    <t xml:space="preserve">HA-OUT-005</t>
  </si>
  <si>
    <t xml:space="preserve">TG-D12-case-review</t>
  </si>
  <si>
    <t xml:space="preserve">KA-OUT-003, KA-OUT-010, KA-OUT-023</t>
  </si>
  <si>
    <t xml:space="preserve">TG-D13-outbound-handson</t>
  </si>
  <si>
    <t xml:space="preserve">HA-OUT-006</t>
  </si>
  <si>
    <t xml:space="preserve">Shadow a proactive hunt</t>
  </si>
  <si>
    <t xml:space="preserve">KA-PB-003</t>
  </si>
  <si>
    <t xml:space="preserve">TG-D13-shadowing</t>
  </si>
  <si>
    <t xml:space="preserve">Proofpoint and Heimdall rule review</t>
  </si>
  <si>
    <t xml:space="preserve">KA-TOOL-002, KA-TOOL-006, KA-OUT-021</t>
  </si>
  <si>
    <t xml:space="preserve">TG-D13-rule-review</t>
  </si>
  <si>
    <t xml:space="preserve">Nesting: supervised mixed queue</t>
  </si>
  <si>
    <t xml:space="preserve">KA-GEN-005</t>
  </si>
  <si>
    <t xml:space="preserve">TG-D14-nesting</t>
  </si>
  <si>
    <t xml:space="preserve">QA feedback session</t>
  </si>
  <si>
    <t xml:space="preserve">Guardrails and escalation refresher</t>
  </si>
  <si>
    <t xml:space="preserve">M-W3-03</t>
  </si>
  <si>
    <t xml:space="preserve">KA-FND-013, KA-GEN-008</t>
  </si>
  <si>
    <t xml:space="preserve">Final Certification - Theory</t>
  </si>
  <si>
    <t xml:space="preserve">A-D15</t>
  </si>
  <si>
    <t xml:space="preserve">TG-D15-certification</t>
  </si>
  <si>
    <t xml:space="preserve">Final Certification - Practical</t>
  </si>
  <si>
    <t xml:space="preserve">Results and development plans</t>
  </si>
  <si>
    <t xml:space="preserve">TG-D15-results</t>
  </si>
  <si>
    <t xml:space="preserve">Transition to process</t>
  </si>
  <si>
    <t xml:space="preserve">KA-GEN-001</t>
  </si>
  <si>
    <t xml:space="preserve">TG-D15-transition</t>
  </si>
  <si>
    <t xml:space="preserve">Programme close and feedback</t>
  </si>
  <si>
    <t xml:space="preserve">Quip article inventory and writing backlog</t>
  </si>
  <si>
    <t xml:space="preserve">Sorted by the day each article is first needed, so it doubles as the writing order. Yellow columns are yours to fill in.</t>
  </si>
  <si>
    <t xml:space="preserve">KA ID</t>
  </si>
  <si>
    <t xml:space="preserve">Title</t>
  </si>
  <si>
    <t xml:space="preserve">Type</t>
  </si>
  <si>
    <t xml:space="preserve">Folder</t>
  </si>
  <si>
    <t xml:space="preserve">First needed (day)</t>
  </si>
  <si>
    <t xml:space="preserve">Used in (curriculum rows)</t>
  </si>
  <si>
    <t xml:space="preserve">Times used</t>
  </si>
  <si>
    <t xml:space="preserve">Linked LMS items</t>
  </si>
  <si>
    <t xml:space="preserve">Source material</t>
  </si>
  <si>
    <t xml:space="preserve">New or legacy</t>
  </si>
  <si>
    <t xml:space="preserve">Legacy link</t>
  </si>
  <si>
    <t xml:space="preserve">Owner (SME / Ops)</t>
  </si>
  <si>
    <t xml:space="preserve">Writer</t>
  </si>
  <si>
    <t xml:space="preserve">KA-FND-000</t>
  </si>
  <si>
    <t xml:space="preserve">Foundations hub</t>
  </si>
  <si>
    <t xml:space="preserve">01 Foundations</t>
  </si>
  <si>
    <t xml:space="preserve">Before launch (navigation and setup)</t>
  </si>
  <si>
    <t xml:space="preserve">To triage</t>
  </si>
  <si>
    <t xml:space="preserve">Mail OPS mission, team and roles</t>
  </si>
  <si>
    <t xml:space="preserve">D1: Team Mission &amp; Objectives - Mail OPS</t>
  </si>
  <si>
    <t xml:space="preserve">M-W1-01, A-D06, A-D15</t>
  </si>
  <si>
    <t xml:space="preserve">Guide §1 + SME (Apple ecosystem, T&amp;S intro)</t>
  </si>
  <si>
    <t xml:space="preserve">Privacy principles and data handling</t>
  </si>
  <si>
    <t xml:space="preserve">D1: Privacy principles and data handling boundaries</t>
  </si>
  <si>
    <t xml:space="preserve">M-W1-02, A-D06, A-D15</t>
  </si>
  <si>
    <t xml:space="preserve">Guide §1, §15 + SME (GDPR, incidents)</t>
  </si>
  <si>
    <t xml:space="preserve">Apple Account, iCloud and iCloud Mail</t>
  </si>
  <si>
    <t xml:space="preserve">D1: iCloud and iCloud Mail
D1: Hands on: iCloud and iCloud+ Mail</t>
  </si>
  <si>
    <t xml:space="preserve">M-W1-03, A-D06, A-D15</t>
  </si>
  <si>
    <t xml:space="preserve">Guide §2, §3, §11</t>
  </si>
  <si>
    <t xml:space="preserve">D1: iCloud+ mail features
D1: Hands on: iCloud and iCloud+ Mail</t>
  </si>
  <si>
    <t xml:space="preserve">M-W1-04, A-D06, A-D15</t>
  </si>
  <si>
    <t xml:space="preserve">Guide §2, §8</t>
  </si>
  <si>
    <t xml:space="preserve">Mail OPS home hub</t>
  </si>
  <si>
    <t xml:space="preserve">00 Start Here</t>
  </si>
  <si>
    <t xml:space="preserve">D15: Transition to process</t>
  </si>
  <si>
    <t xml:space="preserve">KA-GEN-002</t>
  </si>
  <si>
    <t xml:space="preserve">Mail OPS Glossary</t>
  </si>
  <si>
    <t xml:space="preserve">Module 1 guide §14 Ops terms</t>
  </si>
  <si>
    <t xml:space="preserve">KA-GEN-003</t>
  </si>
  <si>
    <t xml:space="preserve">What's New</t>
  </si>
  <si>
    <t xml:space="preserve">Set up once</t>
  </si>
  <si>
    <t xml:space="preserve">KA-GEN-004</t>
  </si>
  <si>
    <t xml:space="preserve">What's New Archive</t>
  </si>
  <si>
    <t xml:space="preserve">99 Archive</t>
  </si>
  <si>
    <t xml:space="preserve">KA-IN-000</t>
  </si>
  <si>
    <t xml:space="preserve">Inbound hub</t>
  </si>
  <si>
    <t xml:space="preserve">03 Inbound</t>
  </si>
  <si>
    <t xml:space="preserve">KA-OUT-000</t>
  </si>
  <si>
    <t xml:space="preserve">Outbound hub</t>
  </si>
  <si>
    <t xml:space="preserve">04 Outbound</t>
  </si>
  <si>
    <t xml:space="preserve">KA-PB-000</t>
  </si>
  <si>
    <t xml:space="preserve">Playbooks hub</t>
  </si>
  <si>
    <t xml:space="preserve">06 Playbooks</t>
  </si>
  <si>
    <t xml:space="preserve">KA-PM-000</t>
  </si>
  <si>
    <t xml:space="preserve">Postmaster hub</t>
  </si>
  <si>
    <t xml:space="preserve">05 Postmaster</t>
  </si>
  <si>
    <t xml:space="preserve">KA-TOOL-000</t>
  </si>
  <si>
    <t xml:space="preserve">Tools hub</t>
  </si>
  <si>
    <t xml:space="preserve">02 Tools</t>
  </si>
  <si>
    <t xml:space="preserve">Mail flow architecture and email headers</t>
  </si>
  <si>
    <t xml:space="preserve">D2: Mail flow architecture</t>
  </si>
  <si>
    <t xml:space="preserve">M-W1-05, A-D06, A-D15</t>
  </si>
  <si>
    <t xml:space="preserve">Guide §4, §5, §7, §14</t>
  </si>
  <si>
    <t xml:space="preserve">KA-FND-006</t>
  </si>
  <si>
    <t xml:space="preserve">How mail classification works</t>
  </si>
  <si>
    <t xml:space="preserve">D2: Tool Overview: Heimdall</t>
  </si>
  <si>
    <t xml:space="preserve">M-W1-06, A-D06, A-D15</t>
  </si>
  <si>
    <t xml:space="preserve">Guide §6 + SME</t>
  </si>
  <si>
    <t xml:space="preserve">Handle a URL/SUP request</t>
  </si>
  <si>
    <t xml:space="preserve">D2: URL/SUPs
D2: Hands on: URL/SUPs</t>
  </si>
  <si>
    <t xml:space="preserve">M-W1-07, A-D06, A-D15</t>
  </si>
  <si>
    <t xml:space="preserve">SME (scope to be confirmed)</t>
  </si>
  <si>
    <t xml:space="preserve">KA-OUT-020</t>
  </si>
  <si>
    <t xml:space="preserve">Allowlist or blocklist a campaign</t>
  </si>
  <si>
    <t xml:space="preserve">D2: Tool Overview: Heimdall
D2: Tool Walkthrough: Heimdall
D11: Identifying and actioning on campaigns</t>
  </si>
  <si>
    <t xml:space="preserve">M-W1-06, M-W3-01, A-D06, A-D15</t>
  </si>
  <si>
    <t xml:space="preserve">SME</t>
  </si>
  <si>
    <t xml:space="preserve">KA-OUT-021</t>
  </si>
  <si>
    <t xml:space="preserve">Choosing between allowlist and blocklist</t>
  </si>
  <si>
    <t xml:space="preserve">D2: Tool Overview: Heimdall
D11: Identifying and actioning on campaigns
D13: Proofpoint and Heimdall rule review</t>
  </si>
  <si>
    <t xml:space="preserve">KA-OUT-022</t>
  </si>
  <si>
    <t xml:space="preserve">Edit an existing rule</t>
  </si>
  <si>
    <t xml:space="preserve">D2: Tool Walkthrough: Heimdall</t>
  </si>
  <si>
    <t xml:space="preserve">A-D06, A-D15</t>
  </si>
  <si>
    <t xml:space="preserve">KA-TOOL-002</t>
  </si>
  <si>
    <t xml:space="preserve">Heimdall Tool Guide</t>
  </si>
  <si>
    <t xml:space="preserve">D2: Tool Overview: Heimdall
D2: Tool Walkthrough: Heimdall
D13: Proofpoint and Heimdall rule review</t>
  </si>
  <si>
    <t xml:space="preserve">Guide §6 + SME (UI, naming, rules)</t>
  </si>
  <si>
    <t xml:space="preserve">KA-GEN-006</t>
  </si>
  <si>
    <t xml:space="preserve">Root cause and sub root cause codes</t>
  </si>
  <si>
    <t xml:space="preserve">D3: Tools overview - part 1 (Sonar) - Investigate
D3: Hands on: Sonar
D7: Actioning a case</t>
  </si>
  <si>
    <t xml:space="preserve">M-W1-09, M-W2-05, A-D06, A-D10, A-D15</t>
  </si>
  <si>
    <t xml:space="preserve">Guide §14 + SME</t>
  </si>
  <si>
    <t xml:space="preserve">KA-TOOL-003</t>
  </si>
  <si>
    <t xml:space="preserve">Splunk Tool Guide</t>
  </si>
  <si>
    <t xml:space="preserve">D3: Tools overview - part 1 (Splunk) - Investigate</t>
  </si>
  <si>
    <t xml:space="preserve">M-W1-08, A-D06, A-D15</t>
  </si>
  <si>
    <t xml:space="preserve">Splunk indexes and query library</t>
  </si>
  <si>
    <t xml:space="preserve">D3: Tools overview - part 1 (Splunk) - Investigate
D3: Hands on: Splunk
D11: Hands on: Campaigns</t>
  </si>
  <si>
    <t xml:space="preserve">KA-TOOL-005</t>
  </si>
  <si>
    <t xml:space="preserve">Sonar Tool Guide</t>
  </si>
  <si>
    <t xml:space="preserve">D3: Tools overview - part 1 (Sonar) - Investigate
D3: Hands on: Sonar</t>
  </si>
  <si>
    <t xml:space="preserve">M-W1-09, A-D06, A-D15</t>
  </si>
  <si>
    <t xml:space="preserve">Guide §10, §14 + SME</t>
  </si>
  <si>
    <t xml:space="preserve">KA-TOOL-006</t>
  </si>
  <si>
    <t xml:space="preserve">Proofpoint (PPS/TAP) Tool Guide</t>
  </si>
  <si>
    <t xml:space="preserve">D3: Tools overview - part 2 (Proofpoint, Bazooka, Gattler) - Mitigate
D13: Proofpoint and Heimdall rule review</t>
  </si>
  <si>
    <t xml:space="preserve">M-W1-10, A-D06, A-D15</t>
  </si>
  <si>
    <t xml:space="preserve">Guide §6, §10 + SME</t>
  </si>
  <si>
    <t xml:space="preserve">KA-TOOL-007</t>
  </si>
  <si>
    <t xml:space="preserve">Bazooka Tool Guide</t>
  </si>
  <si>
    <t xml:space="preserve">D3: Tools overview - part 2 (Proofpoint, Bazooka, Gattler) - Mitigate</t>
  </si>
  <si>
    <t xml:space="preserve">KA-TOOL-008</t>
  </si>
  <si>
    <t xml:space="preserve">Gattler Tool Guide</t>
  </si>
  <si>
    <t xml:space="preserve">D4: The 14-stage milter chain
D4: Hands on: Header analysis with samples</t>
  </si>
  <si>
    <t xml:space="preserve">M-W1-13, A-D06, A-D15</t>
  </si>
  <si>
    <t xml:space="preserve">Guide §6</t>
  </si>
  <si>
    <t xml:space="preserve">KA-FND-008</t>
  </si>
  <si>
    <t xml:space="preserve">Analyse an email header</t>
  </si>
  <si>
    <t xml:space="preserve">D4: Hands on: Header analysis with samples</t>
  </si>
  <si>
    <t xml:space="preserve">Guide §6, §14 + SME header samples</t>
  </si>
  <si>
    <t xml:space="preserve">Tools by stage</t>
  </si>
  <si>
    <t xml:space="preserve">D4: Hands on: Tools by stage</t>
  </si>
  <si>
    <t xml:space="preserve">Guide §10</t>
  </si>
  <si>
    <t xml:space="preserve">KA-TOOL-009</t>
  </si>
  <si>
    <t xml:space="preserve">Radar Tool Guide</t>
  </si>
  <si>
    <t xml:space="preserve">D4: Tools overview - part 3 (Radar, Slack, Quip) - Engineer
D11: Engineering hand-off: writing a Radar</t>
  </si>
  <si>
    <t xml:space="preserve">M-W1-11, M-W3-02, A-D06, A-D15</t>
  </si>
  <si>
    <t xml:space="preserve">KA-TOOL-010</t>
  </si>
  <si>
    <t xml:space="preserve">Slack and Quip in Mail OPS</t>
  </si>
  <si>
    <t xml:space="preserve">D4: Tools overview - part 3 (Radar, Slack, Quip) - Engineer</t>
  </si>
  <si>
    <t xml:space="preserve">M-W1-11, A-D06, A-D15</t>
  </si>
  <si>
    <t xml:space="preserve">KA-TOOL-011</t>
  </si>
  <si>
    <t xml:space="preserve">Khiron Tool Guide</t>
  </si>
  <si>
    <t xml:space="preserve">D4: Tools overview - part 4 (Khiron, iHawk) - Other tools</t>
  </si>
  <si>
    <t xml:space="preserve">M-W1-12, A-D06, A-D15</t>
  </si>
  <si>
    <t xml:space="preserve">KA-TOOL-012</t>
  </si>
  <si>
    <t xml:space="preserve">iHawk Tool Guide</t>
  </si>
  <si>
    <t xml:space="preserve">Inbound mail flow: deep dive</t>
  </si>
  <si>
    <t xml:space="preserve">D5: Inbound Mail Flow: Deep Dive</t>
  </si>
  <si>
    <t xml:space="preserve">M-W1-14, A-D06, A-D15</t>
  </si>
  <si>
    <t xml:space="preserve">Guide §5, §6</t>
  </si>
  <si>
    <t xml:space="preserve">Outbound mail flow: deep dive</t>
  </si>
  <si>
    <t xml:space="preserve">D5: Outbound Mail Flow: Deep Dive</t>
  </si>
  <si>
    <t xml:space="preserve">M-W1-15, A-D06, A-D15</t>
  </si>
  <si>
    <t xml:space="preserve">Guide §7</t>
  </si>
  <si>
    <t xml:space="preserve">Trace an inbound message</t>
  </si>
  <si>
    <t xml:space="preserve">D5: Hands on: Inbound mail tracing</t>
  </si>
  <si>
    <t xml:space="preserve">Trace an outbound message and read bounces</t>
  </si>
  <si>
    <t xml:space="preserve">D5: Hands on: Outbound mail tracing</t>
  </si>
  <si>
    <t xml:space="preserve">Guide §7, §14</t>
  </si>
  <si>
    <t xml:space="preserve">Operating model: Identify, Mitigate, Engineer</t>
  </si>
  <si>
    <t xml:space="preserve">D6: Our operating model: Identify, Mitigate, Engineer</t>
  </si>
  <si>
    <t xml:space="preserve">M-W2-01, A-D10, A-D15</t>
  </si>
  <si>
    <t xml:space="preserve">Guide §1, §10</t>
  </si>
  <si>
    <t xml:space="preserve">D6: Abuse landscape</t>
  </si>
  <si>
    <t xml:space="preserve">M-W2-02, A-D10, A-D15</t>
  </si>
  <si>
    <t xml:space="preserve">Guide §9</t>
  </si>
  <si>
    <t xml:space="preserve">KA-OUT-002</t>
  </si>
  <si>
    <t xml:space="preserve">Outbound abuse types</t>
  </si>
  <si>
    <t xml:space="preserve">D6: Abuse landscape in iCloud Outbound</t>
  </si>
  <si>
    <t xml:space="preserve">M-W2-03, A-D10, A-D15</t>
  </si>
  <si>
    <t xml:space="preserve">Guide §8, §9 + SME (bad forward, login alias, Apple ID)</t>
  </si>
  <si>
    <t xml:space="preserve">KA-OUT-003</t>
  </si>
  <si>
    <t xml:space="preserve">Identifying the outbound abuse type</t>
  </si>
  <si>
    <t xml:space="preserve">D6: Abuse landscape in iCloud Outbound
D12: Outbound Hands-on
D13: Outbound Hands-on</t>
  </si>
  <si>
    <t xml:space="preserve">KA-FND-013</t>
  </si>
  <si>
    <t xml:space="preserve">Guardrails and non-negotiables</t>
  </si>
  <si>
    <t xml:space="preserve">D7: Actioning a case
D14: Guardrails and escalation refresher</t>
  </si>
  <si>
    <t xml:space="preserve">M-W2-05, M-W3-03, A-D10, A-D15</t>
  </si>
  <si>
    <t xml:space="preserve">Guide §15</t>
  </si>
  <si>
    <t xml:space="preserve">Work a case end to end: triage, mitigate, record</t>
  </si>
  <si>
    <t xml:space="preserve">D7: Actioning a case
D14: Nesting: supervised mixed queue</t>
  </si>
  <si>
    <t xml:space="preserve">M-W2-05, A-D10, A-D15</t>
  </si>
  <si>
    <t xml:space="preserve">Guide §10, §14, §15 + SME SOP</t>
  </si>
  <si>
    <t xml:space="preserve">KA-OUT-010</t>
  </si>
  <si>
    <t xml:space="preserve">Account actions by account type</t>
  </si>
  <si>
    <t xml:space="preserve">D7: Types/Actions on accounts
D7: Hands-on with sample accounts
D8: Hands-on with sample accounts
D12: Outbound Hands-on
D13: Outbound Hands-on</t>
  </si>
  <si>
    <t xml:space="preserve">M-W2-04, A-D10, A-D15</t>
  </si>
  <si>
    <t xml:space="preserve">Guide §13B, §14 + SME</t>
  </si>
  <si>
    <t xml:space="preserve">KA-OUT-011</t>
  </si>
  <si>
    <t xml:space="preserve">Action an account and record the outcome</t>
  </si>
  <si>
    <t xml:space="preserve">D7: Types/Actions on accounts
D7: Hands-on with sample accounts
D8: Hands-on with sample accounts
D12: Outbound Hands-on</t>
  </si>
  <si>
    <t xml:space="preserve">Guide §13B, §15 + SME</t>
  </si>
  <si>
    <t xml:space="preserve">KA-OUT-012</t>
  </si>
  <si>
    <t xml:space="preserve">Action a Hide My Email abuse case</t>
  </si>
  <si>
    <t xml:space="preserve">D7: Hands-on with sample accounts
D8: Hands-on with sample accounts</t>
  </si>
  <si>
    <t xml:space="preserve">A-D10, A-D15</t>
  </si>
  <si>
    <t xml:space="preserve">Guide §8 + SME</t>
  </si>
  <si>
    <t xml:space="preserve">Spike in user spam reports</t>
  </si>
  <si>
    <t xml:space="preserve">D9: Other Ops workflow - Spike in user spam reports
D10: Hands on: Postmaster and triage scenarios</t>
  </si>
  <si>
    <t xml:space="preserve">M-W2-07, A-D10, A-D15</t>
  </si>
  <si>
    <t xml:space="preserve">Guide §13A</t>
  </si>
  <si>
    <t xml:space="preserve">Outbound abuse playbook</t>
  </si>
  <si>
    <t xml:space="preserve">D9: Other Ops workflow - Outbound abuse
D10: Hands on: Postmaster and triage scenarios
D12: Outbound Hands-on</t>
  </si>
  <si>
    <t xml:space="preserve">M-W2-08, A-D10, A-D15</t>
  </si>
  <si>
    <t xml:space="preserve">Guide §13B</t>
  </si>
  <si>
    <t xml:space="preserve">KA-PM-001</t>
  </si>
  <si>
    <t xml:space="preserve">Postmaster policy positions</t>
  </si>
  <si>
    <t xml:space="preserve">D9: Working with Postmaster</t>
  </si>
  <si>
    <t xml:space="preserve">M-W2-06, A-D10, A-D15</t>
  </si>
  <si>
    <t xml:space="preserve">Guide §12</t>
  </si>
  <si>
    <t xml:space="preserve">KA-PM-002</t>
  </si>
  <si>
    <t xml:space="preserve">Work a Postmaster case</t>
  </si>
  <si>
    <t xml:space="preserve">D9: Working with Postmaster
D9: Hands on: Postmaster cases
D10: Hands on: Postmaster and triage scenarios</t>
  </si>
  <si>
    <t xml:space="preserve">KA-PM-003</t>
  </si>
  <si>
    <t xml:space="preserve">Postmaster case types and causes</t>
  </si>
  <si>
    <t xml:space="preserve">D9: Working with Postmaster
D9: Hands on: Postmaster cases</t>
  </si>
  <si>
    <t xml:space="preserve">KA-PM-004</t>
  </si>
  <si>
    <t xml:space="preserve">Postmaster reply templates</t>
  </si>
  <si>
    <t xml:space="preserve">SME (approved templates)</t>
  </si>
  <si>
    <t xml:space="preserve">KA-GEN-007</t>
  </si>
  <si>
    <t xml:space="preserve">Write an engineering hand-off (Radar)</t>
  </si>
  <si>
    <t xml:space="preserve">D11: Engineering hand-off: writing a Radar</t>
  </si>
  <si>
    <t xml:space="preserve">M-W3-02, A-D15</t>
  </si>
  <si>
    <t xml:space="preserve">KA-OUT-023</t>
  </si>
  <si>
    <t xml:space="preserve">Identify and cluster a campaign</t>
  </si>
  <si>
    <t xml:space="preserve">D11: Identifying and actioning on campaigns
D11: Hands on: Campaigns
D13: Outbound Hands-on</t>
  </si>
  <si>
    <t xml:space="preserve">M-W3-01, A-D15</t>
  </si>
  <si>
    <t xml:space="preserve">Guide §10, §13 + SME</t>
  </si>
  <si>
    <t xml:space="preserve">KA-OUT-024</t>
  </si>
  <si>
    <t xml:space="preserve">Choosing campaign-level mitigation</t>
  </si>
  <si>
    <t xml:space="preserve">D11: Identifying and actioning on campaigns
D11: Hands on: Campaigns</t>
  </si>
  <si>
    <t xml:space="preserve">Guide §13 + SME</t>
  </si>
  <si>
    <t xml:space="preserve">Proactive hunting: questions and queries</t>
  </si>
  <si>
    <t xml:space="preserve">D13: Shadow a proactive hunt</t>
  </si>
  <si>
    <t xml:space="preserve">Guide §10 + SME</t>
  </si>
  <si>
    <t xml:space="preserve">KA-GEN-008</t>
  </si>
  <si>
    <t xml:space="preserve">Escalation contacts</t>
  </si>
  <si>
    <t xml:space="preserve">D14: Guardrails and escalation refresher</t>
  </si>
  <si>
    <t xml:space="preserve">M-W3-03, A-D15</t>
  </si>
  <si>
    <t xml:space="preserve">SME / Ops</t>
  </si>
  <si>
    <t xml:space="preserve">LMS modules and assessments</t>
  </si>
  <si>
    <t xml:space="preserve">Planned questions are suggested starting points (4 per module or check, 20 for A-D06, 15 scenarios for A-D10, 30 for A-D15); adjust them in the yellow column.</t>
  </si>
  <si>
    <t xml:space="preserve">LMS ID</t>
  </si>
  <si>
    <t xml:space="preserve">Curriculum row(s)</t>
  </si>
  <si>
    <t xml:space="preserve">Linked Quip articles</t>
  </si>
  <si>
    <t xml:space="preserve">Planned questions</t>
  </si>
  <si>
    <t xml:space="preserve">KA-FND-001, KA-FND-002, KA-FND-003, KA-FND-004, KA-FND-005, KA-FND-006, KA-FND-007, KA-FND-008, KA-FND-009, KA-FND-010, KA-GEN-006, KA-IN-001, KA-IN-002, KA-OUT-001, KA-OUT-020, KA-OUT-021, KA-OUT-022, KA-TOOL-001, KA-TOOL-002, KA-TOOL-003, KA-TOOL-004, KA-TOOL-005, KA-TOOL-006, KA-TOOL-007, KA-TOOL-008, KA-TOOL-009, KA-TOOL-010, KA-TOOL-011, KA-TOOL-012</t>
  </si>
  <si>
    <t xml:space="preserve">KA-FND-011, KA-FND-012, KA-FND-013, KA-GEN-005, KA-GEN-006, KA-OUT-002, KA-OUT-003, KA-OUT-010, KA-OUT-011, KA-OUT-012, KA-PB-001, KA-PB-002, KA-PM-001, KA-PM-002, KA-PM-003, KA-PM-004</t>
  </si>
  <si>
    <t xml:space="preserve">Final Certification (theory and practical)</t>
  </si>
  <si>
    <t xml:space="preserve">Final Certification - Theory; Final Certification - Practical</t>
  </si>
  <si>
    <t xml:space="preserve">KA-FND-001, KA-FND-002, KA-FND-003, KA-FND-004, KA-FND-005, KA-FND-006, KA-FND-007, KA-FND-008, KA-FND-009, KA-FND-010, KA-FND-011, KA-FND-012, KA-FND-013, KA-GEN-005, KA-GEN-006, KA-GEN-007, KA-GEN-008, KA-IN-001, KA-IN-002, KA-OUT-001, KA-OUT-002, KA-OUT-003, KA-OUT-010, KA-OUT-011, KA-OUT-012, KA-OUT-020, KA-OUT-021, KA-OUT-022, KA-OUT-023, KA-OUT-024, KA-PB-001, KA-PB-002, KA-PB-003, KA-PM-001, KA-PM-002, KA-PM-003, KA-PM-004, KA-TOOL-001, KA-TOOL-002, KA-TOOL-003, KA-TOOL-004, KA-TOOL-005, KA-TOOL-006, KA-TOOL-007, KA-TOOL-008, KA-TOOL-009, KA-TOOL-010, KA-TOOL-011, KA-TOOL-012</t>
  </si>
  <si>
    <t xml:space="preserve">Total questions</t>
  </si>
  <si>
    <t xml:space="preserve">Training Kit items (restricted folder 90 Training Kit)</t>
  </si>
  <si>
    <t xml:space="preserve">Trainer Guides and Hands-on Activities. Activities rely on SME sample data listed in the curriculum workbook's SME inputs sheet.</t>
  </si>
  <si>
    <t xml:space="preserve">ID</t>
  </si>
  <si>
    <t xml:space="preserve">First used (day)</t>
  </si>
  <si>
    <t xml:space="preserve">Quip articles it points to</t>
  </si>
  <si>
    <t xml:space="preserve">Owner</t>
  </si>
  <si>
    <t xml:space="preserve">Trainer Guide: Hands on: iCloud and iCloud+ Mail</t>
  </si>
  <si>
    <t xml:space="preserve">TG-GEN-recap-wrap</t>
  </si>
  <si>
    <t xml:space="preserve">Trainer Guide: Daily recap and wrap-up</t>
  </si>
  <si>
    <t xml:space="preserve">Day n Recap
Quick Wrap-Up</t>
  </si>
  <si>
    <t xml:space="preserve">iCloud and iCloud+ Mail hands-on</t>
  </si>
  <si>
    <t xml:space="preserve">Trainer Guide: Tool Walkthrough: Heimdall</t>
  </si>
  <si>
    <t xml:space="preserve">Trainer Guide: URL/SUPs</t>
  </si>
  <si>
    <t xml:space="preserve">URL/SUPs
Hands on: URL/SUPs</t>
  </si>
  <si>
    <t xml:space="preserve">Trainer Guide: Mail flow architecture</t>
  </si>
  <si>
    <t xml:space="preserve">URL/SUP practice requests</t>
  </si>
  <si>
    <t xml:space="preserve">Write and read back a Heimdall rule</t>
  </si>
  <si>
    <t xml:space="preserve">Trainer Guide: Hands on: Sonar</t>
  </si>
  <si>
    <t xml:space="preserve">Trainer Guide: Tools overview - part 1 (Splunk) - Investigate</t>
  </si>
  <si>
    <t xml:space="preserve">Tools overview - part 1 (Splunk) - Investigate
Hands on: Splunk</t>
  </si>
  <si>
    <t xml:space="preserve">Trainer Guide: Tools overview - part 2 (Proofpoint, Bazooka, Gattler) - Mitigate</t>
  </si>
  <si>
    <t xml:space="preserve">Splunk indexes and queries round robin</t>
  </si>
  <si>
    <t xml:space="preserve">Sonar: open, read and update a sample case</t>
  </si>
  <si>
    <t xml:space="preserve">Trainer Guide: Hands on: Header analysis with samples</t>
  </si>
  <si>
    <t xml:space="preserve">Trainer Guide: Hands on: Tools by stage</t>
  </si>
  <si>
    <t xml:space="preserve">Trainer Guide: The 14-stage milter chain</t>
  </si>
  <si>
    <t xml:space="preserve">Header analysis with samples</t>
  </si>
  <si>
    <t xml:space="preserve">Match the tool to the task</t>
  </si>
  <si>
    <t xml:space="preserve">Trainer Guide: Hands on: Inbound mail tracing</t>
  </si>
  <si>
    <t xml:space="preserve">Trainer Guide: Hands on: Outbound mail tracing</t>
  </si>
  <si>
    <t xml:space="preserve">Trainer Guide: Inbound Mail Flow: Deep Dive</t>
  </si>
  <si>
    <t xml:space="preserve">Trainer Guide: Outbound Mail Flow: Deep Dive</t>
  </si>
  <si>
    <t xml:space="preserve">Inbound mail tracing</t>
  </si>
  <si>
    <t xml:space="preserve">Outbound mail tracing</t>
  </si>
  <si>
    <t xml:space="preserve">Trainer Guide: Week 1 Knowledge Check</t>
  </si>
  <si>
    <t xml:space="preserve">Week 1 Knowledge Check
Knowledge Check Review</t>
  </si>
  <si>
    <t xml:space="preserve">Trainer Guide: Abuse landscape in iCloud Outbound</t>
  </si>
  <si>
    <t xml:space="preserve">Trainer Guide: Our operating model: Identify, Mitigate, Engineer</t>
  </si>
  <si>
    <t xml:space="preserve">Trainer Guide: Types/Actions on accounts</t>
  </si>
  <si>
    <t xml:space="preserve">Trainer Guide: Hands-on with sample accounts</t>
  </si>
  <si>
    <t xml:space="preserve">Trainer Guide: Actioning a case</t>
  </si>
  <si>
    <t xml:space="preserve">Sample accounts, guided (Day 7)</t>
  </si>
  <si>
    <t xml:space="preserve">Trainer Guide: Trainer case review</t>
  </si>
  <si>
    <t xml:space="preserve">Sample accounts, independent (Day 8)</t>
  </si>
  <si>
    <t xml:space="preserve">Trainer Guide: Hands on: Postmaster cases</t>
  </si>
  <si>
    <t xml:space="preserve">Trainer Guide: Working with Postmaster</t>
  </si>
  <si>
    <t xml:space="preserve">Trainer Guide: Other Ops workflow - Spike in user spam reports</t>
  </si>
  <si>
    <t xml:space="preserve">Trainer Guide: Other Ops workflow - Outbound abuse</t>
  </si>
  <si>
    <t xml:space="preserve">Postmaster sample cases</t>
  </si>
  <si>
    <t xml:space="preserve">Trainer Guide: Week 2 Practical Assessment</t>
  </si>
  <si>
    <t xml:space="preserve">Week 2 Practical Assessment
Assessment Debrief</t>
  </si>
  <si>
    <t xml:space="preserve">Trainer Guide: Hands on: Postmaster and triage scenarios</t>
  </si>
  <si>
    <t xml:space="preserve">Postmaster and triage scenarios</t>
  </si>
  <si>
    <t xml:space="preserve">Trainer Guide: Identifying and actioning on campaigns</t>
  </si>
  <si>
    <t xml:space="preserve">Identifying and actioning on campaigns
Hands on: Campaigns</t>
  </si>
  <si>
    <t xml:space="preserve">KA-OUT-023, KA-OUT-024, KA-OUT-020, KA-OUT-021, KA-TOOL-004</t>
  </si>
  <si>
    <t xml:space="preserve">Campaign hunt in sample data</t>
  </si>
  <si>
    <t xml:space="preserve">Trainer Guide: Outbound Hands-on</t>
  </si>
  <si>
    <t xml:space="preserve">Outbound case set (Day 12)</t>
  </si>
  <si>
    <t xml:space="preserve">Trainer Guide: Proofpoint and Heimdall rule review</t>
  </si>
  <si>
    <t xml:space="preserve">Trainer Guide: Shadow a proactive hunt</t>
  </si>
  <si>
    <t xml:space="preserve">Outbound case set with campaign-linked accounts (Day 13)</t>
  </si>
  <si>
    <t xml:space="preserve">Trainer Guide: Nesting: supervised mixed queue</t>
  </si>
  <si>
    <t xml:space="preserve">Nesting: supervised mixed queue
QA feedback session</t>
  </si>
  <si>
    <t xml:space="preserve">Trainer Guide: Final Certification - Theory</t>
  </si>
  <si>
    <t xml:space="preserve">Final Certification - Theory
Final Certification - Practical</t>
  </si>
  <si>
    <t xml:space="preserve">Trainer Guide: Results and development plans</t>
  </si>
  <si>
    <t xml:space="preserve">Results and development plans
Programme close and feedback</t>
  </si>
  <si>
    <t xml:space="preserve">Trainer Guide: Transition to process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</si>
</sst>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DCEBF7"/>
      </patternFill>
    </fill>
    <fill>
      <patternFill patternType="solid">
        <fgColor rgb="FFFFF2CC"/>
        <bgColor rgb="FFFDEBD3"/>
      </patternFill>
    </fill>
    <fill>
      <patternFill patternType="solid">
        <fgColor rgb="FFFCE4D6"/>
        <bgColor rgb="FFFDEBD3"/>
      </patternFill>
    </fill>
    <fill>
      <patternFill patternType="solid">
        <fgColor rgb="FFDCEBF7"/>
        <bgColor rgb="FFD9E2F3"/>
      </patternFill>
    </fill>
    <fill>
      <patternFill patternType="solid">
        <fgColor rgb="FFE2F0D9"/>
        <bgColor rgb="FFDCEBF7"/>
      </patternFill>
    </fill>
    <fill>
      <patternFill patternType="solid">
        <fgColor rgb="FFF5F7FA"/>
        <bgColor rgb="FFFFFFFF"/>
      </patternFill>
    </fill>
    <fill>
      <patternFill patternType="solid">
        <fgColor rgb="FFE8E0F5"/>
        <bgColor rgb="FFD9E2F3"/>
      </patternFill>
    </fill>
    <fill>
      <patternFill patternType="solid">
        <fgColor rgb="FFFDEBD3"/>
        <bgColor rgb="FFFCE4D6"/>
      </patternFill>
    </fill>
    <fill>
      <patternFill patternType="solid">
        <fgColor rgb="FFF8D7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2CC"/>
      <rgbColor rgb="FFDCEBF7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E2F0D9"/>
      <rgbColor rgb="FFFDEBD3"/>
      <rgbColor rgb="FFE8E0F5"/>
      <rgbColor rgb="FFFCE4D6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7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/>
    </row>
    <row r="6" customFormat="false" ht="15" hidden="false" customHeight="false" outlineLevel="0" collapsed="false">
      <c r="A6" s="5" t="s">
        <v>7</v>
      </c>
      <c r="B6" s="6" t="n">
        <f aca="false">COUNTIFS('Quip articles'!$C$5:$C$63,$A6,'Quip articles'!$F$5:$F$63,1)</f>
        <v>7</v>
      </c>
      <c r="C6" s="6" t="n">
        <f aca="false">COUNTIFS('Quip articles'!$C$5:$C$63,$A6,'Quip articles'!$F$5:$F$63,2)</f>
        <v>0</v>
      </c>
      <c r="D6" s="6" t="n">
        <f aca="false">COUNTIFS('Quip articles'!$C$5:$C$63,$A6,'Quip articles'!$F$5:$F$63,3)</f>
        <v>0</v>
      </c>
    </row>
    <row r="7" customFormat="false" ht="15" hidden="false" customHeight="false" outlineLevel="0" collapsed="false">
      <c r="A7" s="5" t="s">
        <v>8</v>
      </c>
      <c r="B7" s="6" t="n">
        <f aca="false">COUNTIFS('Quip articles'!$C$5:$C$63,$A7,'Quip articles'!$F$5:$F$63,1)</f>
        <v>9</v>
      </c>
      <c r="C7" s="6" t="n">
        <f aca="false">COUNTIFS('Quip articles'!$C$5:$C$63,$A7,'Quip articles'!$F$5:$F$63,2)</f>
        <v>5</v>
      </c>
      <c r="D7" s="6" t="n">
        <f aca="false">COUNTIFS('Quip articles'!$C$5:$C$63,$A7,'Quip articles'!$F$5:$F$63,3)</f>
        <v>0</v>
      </c>
    </row>
    <row r="8" customFormat="false" ht="15" hidden="false" customHeight="false" outlineLevel="0" collapsed="false">
      <c r="A8" s="5" t="s">
        <v>9</v>
      </c>
      <c r="B8" s="6" t="n">
        <f aca="false">COUNTIFS('Quip articles'!$C$5:$C$63,$A8,'Quip articles'!$F$5:$F$63,1)</f>
        <v>6</v>
      </c>
      <c r="C8" s="6" t="n">
        <f aca="false">COUNTIFS('Quip articles'!$C$5:$C$63,$A8,'Quip articles'!$F$5:$F$63,2)</f>
        <v>6</v>
      </c>
      <c r="D8" s="6" t="n">
        <f aca="false">COUNTIFS('Quip articles'!$C$5:$C$63,$A8,'Quip articles'!$F$5:$F$63,3)</f>
        <v>3</v>
      </c>
    </row>
    <row r="9" customFormat="false" ht="15" hidden="false" customHeight="false" outlineLevel="0" collapsed="false">
      <c r="A9" s="5" t="s">
        <v>10</v>
      </c>
      <c r="B9" s="6" t="n">
        <f aca="false">COUNTIFS('Quip articles'!$C$5:$C$63,$A9,'Quip articles'!$F$5:$F$63,1)</f>
        <v>10</v>
      </c>
      <c r="C9" s="6" t="n">
        <f aca="false">COUNTIFS('Quip articles'!$C$5:$C$63,$A9,'Quip articles'!$F$5:$F$63,2)</f>
        <v>0</v>
      </c>
      <c r="D9" s="6" t="n">
        <f aca="false">COUNTIFS('Quip articles'!$C$5:$C$63,$A9,'Quip articles'!$F$5:$F$63,3)</f>
        <v>0</v>
      </c>
    </row>
    <row r="10" customFormat="false" ht="15" hidden="false" customHeight="false" outlineLevel="0" collapsed="false">
      <c r="A10" s="5" t="s">
        <v>11</v>
      </c>
      <c r="B10" s="6" t="n">
        <f aca="false">COUNTIFS('Quip articles'!$C$5:$C$63,$A10,'Quip articles'!$F$5:$F$63,1)</f>
        <v>1</v>
      </c>
      <c r="C10" s="6" t="n">
        <f aca="false">COUNTIFS('Quip articles'!$C$5:$C$63,$A10,'Quip articles'!$F$5:$F$63,2)</f>
        <v>3</v>
      </c>
      <c r="D10" s="6" t="n">
        <f aca="false">COUNTIFS('Quip articles'!$C$5:$C$63,$A10,'Quip articles'!$F$5:$F$63,3)</f>
        <v>1</v>
      </c>
    </row>
    <row r="11" customFormat="false" ht="15" hidden="false" customHeight="false" outlineLevel="0" collapsed="false">
      <c r="A11" s="5" t="s">
        <v>12</v>
      </c>
      <c r="B11" s="6" t="n">
        <f aca="false">COUNTIFS('Quip articles'!$C$5:$C$63,$A11,'Quip articles'!$F$5:$F$63,1)</f>
        <v>4</v>
      </c>
      <c r="C11" s="6" t="n">
        <f aca="false">COUNTIFS('Quip articles'!$C$5:$C$63,$A11,'Quip articles'!$F$5:$F$63,2)</f>
        <v>1</v>
      </c>
      <c r="D11" s="6" t="n">
        <f aca="false">COUNTIFS('Quip articles'!$C$5:$C$63,$A11,'Quip articles'!$F$5:$F$63,3)</f>
        <v>1</v>
      </c>
    </row>
    <row r="12" customFormat="false" ht="15" hidden="false" customHeight="false" outlineLevel="0" collapsed="false">
      <c r="A12" s="5" t="s">
        <v>13</v>
      </c>
      <c r="B12" s="6" t="n">
        <f aca="false">COUNTIFS('Quip articles'!$C$5:$C$63,$A12,'Quip articles'!$F$5:$F$63,1)</f>
        <v>2</v>
      </c>
      <c r="C12" s="6" t="n">
        <f aca="false">COUNTIFS('Quip articles'!$C$5:$C$63,$A12,'Quip articles'!$F$5:$F$63,2)</f>
        <v>0</v>
      </c>
      <c r="D12" s="6" t="n">
        <f aca="false">COUNTIFS('Quip articles'!$C$5:$C$63,$A12,'Quip articles'!$F$5:$F$63,3)</f>
        <v>0</v>
      </c>
    </row>
    <row r="13" customFormat="false" ht="15" hidden="false" customHeight="false" outlineLevel="0" collapsed="false">
      <c r="A13" s="7" t="s">
        <v>14</v>
      </c>
      <c r="B13" s="8" t="n">
        <f aca="false">SUM(B6:B12)</f>
        <v>39</v>
      </c>
      <c r="C13" s="8" t="n">
        <f aca="false">SUM(C6:C12)</f>
        <v>15</v>
      </c>
      <c r="D13" s="8" t="n">
        <f aca="false">SUM(D6:D12)</f>
        <v>5</v>
      </c>
    </row>
    <row r="15" customFormat="false" ht="19.5" hidden="false" customHeight="true" outlineLevel="0" collapsed="false">
      <c r="A15" s="3" t="s">
        <v>15</v>
      </c>
      <c r="B15" s="3"/>
      <c r="C15" s="3"/>
      <c r="D15" s="3"/>
      <c r="E15" s="3"/>
    </row>
    <row r="16" customFormat="false" ht="15" hidden="false" customHeight="false" outlineLevel="0" collapsed="false">
      <c r="A16" s="4" t="s">
        <v>16</v>
      </c>
      <c r="B16" s="4" t="s">
        <v>17</v>
      </c>
      <c r="C16" s="4" t="s">
        <v>18</v>
      </c>
      <c r="D16" s="4" t="s">
        <v>19</v>
      </c>
      <c r="E16" s="4"/>
    </row>
    <row r="17" customFormat="false" ht="15" hidden="false" customHeight="false" outlineLevel="0" collapsed="false">
      <c r="A17" s="5" t="s">
        <v>20</v>
      </c>
      <c r="B17" s="6" t="n">
        <f aca="false">COUNTIF('Quip articles'!$O$5:$O$63,$A17)</f>
        <v>59</v>
      </c>
      <c r="C17" s="6" t="n">
        <f aca="false">COUNTIF('LMS items'!$J$5:$J$33,$A17)</f>
        <v>29</v>
      </c>
      <c r="D17" s="6" t="n">
        <f aca="false">COUNTIF('Training Kit'!$H$5:$H$59,$A17)</f>
        <v>55</v>
      </c>
    </row>
    <row r="18" customFormat="false" ht="15" hidden="false" customHeight="false" outlineLevel="0" collapsed="false">
      <c r="A18" s="5" t="s">
        <v>21</v>
      </c>
      <c r="B18" s="6" t="n">
        <f aca="false">COUNTIF('Quip articles'!$O$5:$O$63,$A18)</f>
        <v>0</v>
      </c>
      <c r="C18" s="6" t="n">
        <f aca="false">COUNTIF('LMS items'!$J$5:$J$33,$A18)</f>
        <v>0</v>
      </c>
      <c r="D18" s="6" t="n">
        <f aca="false">COUNTIF('Training Kit'!$H$5:$H$59,$A18)</f>
        <v>0</v>
      </c>
    </row>
    <row r="19" customFormat="false" ht="15" hidden="false" customHeight="false" outlineLevel="0" collapsed="false">
      <c r="A19" s="5" t="s">
        <v>22</v>
      </c>
      <c r="B19" s="6" t="n">
        <f aca="false">COUNTIF('Quip articles'!$O$5:$O$63,$A19)</f>
        <v>0</v>
      </c>
      <c r="C19" s="6" t="n">
        <f aca="false">COUNTIF('LMS items'!$J$5:$J$33,$A19)</f>
        <v>0</v>
      </c>
      <c r="D19" s="6" t="n">
        <f aca="false">COUNTIF('Training Kit'!$H$5:$H$59,$A19)</f>
        <v>0</v>
      </c>
    </row>
    <row r="20" customFormat="false" ht="15" hidden="false" customHeight="false" outlineLevel="0" collapsed="false">
      <c r="A20" s="5" t="s">
        <v>23</v>
      </c>
      <c r="B20" s="6" t="n">
        <f aca="false">COUNTIF('Quip articles'!$O$5:$O$63,$A20)</f>
        <v>0</v>
      </c>
      <c r="C20" s="6" t="n">
        <f aca="false">COUNTIF('LMS items'!$J$5:$J$33,$A20)</f>
        <v>0</v>
      </c>
      <c r="D20" s="6" t="n">
        <f aca="false">COUNTIF('Training Kit'!$H$5:$H$59,$A20)</f>
        <v>0</v>
      </c>
    </row>
    <row r="21" customFormat="false" ht="15" hidden="false" customHeight="false" outlineLevel="0" collapsed="false">
      <c r="A21" s="5" t="s">
        <v>24</v>
      </c>
      <c r="B21" s="6" t="n">
        <f aca="false">COUNTIF('Quip articles'!$O$5:$O$63,$A21)</f>
        <v>0</v>
      </c>
      <c r="C21" s="6" t="n">
        <f aca="false">COUNTIF('LMS items'!$J$5:$J$33,$A21)</f>
        <v>0</v>
      </c>
      <c r="D21" s="6" t="n">
        <f aca="false">COUNTIF('Training Kit'!$H$5:$H$59,$A21)</f>
        <v>0</v>
      </c>
    </row>
    <row r="22" customFormat="false" ht="15" hidden="false" customHeight="false" outlineLevel="0" collapsed="false">
      <c r="A22" s="5" t="s">
        <v>25</v>
      </c>
      <c r="B22" s="6" t="n">
        <f aca="false">COUNTIF('Quip articles'!$O$5:$O$63,$A22)</f>
        <v>0</v>
      </c>
      <c r="C22" s="6" t="n">
        <f aca="false">COUNTIF('LMS items'!$J$5:$J$33,$A22)</f>
        <v>0</v>
      </c>
      <c r="D22" s="6" t="n">
        <f aca="false">COUNTIF('Training Kit'!$H$5:$H$59,$A22)</f>
        <v>0</v>
      </c>
    </row>
    <row r="23" customFormat="false" ht="15" hidden="false" customHeight="false" outlineLevel="0" collapsed="false">
      <c r="A23" s="5" t="s">
        <v>26</v>
      </c>
      <c r="B23" s="6" t="n">
        <f aca="false">COUNTIF('Quip articles'!$O$5:$O$63,$A23)</f>
        <v>0</v>
      </c>
      <c r="C23" s="6" t="n">
        <f aca="false">COUNTIF('LMS items'!$J$5:$J$33,$A23)</f>
        <v>0</v>
      </c>
      <c r="D23" s="6" t="n">
        <f aca="false">COUNTIF('Training Kit'!$H$5:$H$59,$A23)</f>
        <v>0</v>
      </c>
    </row>
    <row r="24" customFormat="false" ht="15" hidden="false" customHeight="false" outlineLevel="0" collapsed="false">
      <c r="A24" s="7" t="s">
        <v>14</v>
      </c>
      <c r="B24" s="8" t="n">
        <f aca="false">SUM(B17:B23)</f>
        <v>59</v>
      </c>
      <c r="C24" s="8" t="n">
        <f aca="false">SUM(C17:C23)</f>
        <v>29</v>
      </c>
      <c r="D24" s="8" t="n">
        <f aca="false">SUM(D17:D23)</f>
        <v>55</v>
      </c>
    </row>
    <row r="26" customFormat="false" ht="19.5" hidden="false" customHeight="true" outlineLevel="0" collapsed="false">
      <c r="A26" s="3" t="s">
        <v>27</v>
      </c>
      <c r="B26" s="3"/>
      <c r="C26" s="3"/>
      <c r="D26" s="3"/>
      <c r="E26" s="3"/>
    </row>
    <row r="27" customFormat="false" ht="15" hidden="false" customHeight="false" outlineLevel="0" collapsed="false">
      <c r="A27" s="4" t="s">
        <v>28</v>
      </c>
      <c r="B27" s="4" t="s">
        <v>29</v>
      </c>
      <c r="C27" s="4"/>
      <c r="D27" s="4"/>
      <c r="E27" s="4"/>
    </row>
    <row r="28" customFormat="false" ht="15" hidden="false" customHeight="false" outlineLevel="0" collapsed="false">
      <c r="A28" s="5" t="s">
        <v>30</v>
      </c>
      <c r="B28" s="6" t="n">
        <f aca="false">COUNTIF('LMS items'!$C$5:$C$33,$A28)</f>
        <v>22</v>
      </c>
    </row>
    <row r="29" customFormat="false" ht="15" hidden="false" customHeight="false" outlineLevel="0" collapsed="false">
      <c r="A29" s="5" t="s">
        <v>31</v>
      </c>
      <c r="B29" s="6" t="n">
        <f aca="false">COUNTIF('LMS items'!$C$5:$C$33,$A29)</f>
        <v>4</v>
      </c>
    </row>
    <row r="30" customFormat="false" ht="15" hidden="false" customHeight="false" outlineLevel="0" collapsed="false">
      <c r="A30" s="5" t="s">
        <v>32</v>
      </c>
      <c r="B30" s="6" t="n">
        <f aca="false">COUNTIF('LMS items'!$C$5:$C$33,$A30)</f>
        <v>3</v>
      </c>
    </row>
    <row r="31" customFormat="false" ht="15" hidden="false" customHeight="false" outlineLevel="0" collapsed="false">
      <c r="A31" s="7" t="s">
        <v>14</v>
      </c>
      <c r="B31" s="8" t="n">
        <f aca="false">SUM(B28:B30)</f>
        <v>29</v>
      </c>
    </row>
    <row r="32" customFormat="false" ht="15" hidden="false" customHeight="false" outlineLevel="0" collapsed="false">
      <c r="A32" s="5" t="s">
        <v>33</v>
      </c>
      <c r="B32" s="6" t="n">
        <f aca="false">COUNTIF('Training Kit'!$C$5:$C$59,$A32)</f>
        <v>39</v>
      </c>
    </row>
    <row r="33" customFormat="false" ht="15" hidden="false" customHeight="false" outlineLevel="0" collapsed="false">
      <c r="A33" s="5" t="s">
        <v>34</v>
      </c>
      <c r="B33" s="6" t="n">
        <f aca="false">COUNTIF('Training Kit'!$C$5:$C$59,$A33)</f>
        <v>16</v>
      </c>
    </row>
    <row r="34" customFormat="false" ht="15" hidden="false" customHeight="false" outlineLevel="0" collapsed="false">
      <c r="A34" s="7" t="s">
        <v>14</v>
      </c>
      <c r="B34" s="8" t="n">
        <f aca="false">SUM(B32:B33)</f>
        <v>55</v>
      </c>
    </row>
    <row r="36" customFormat="false" ht="19.5" hidden="false" customHeight="true" outlineLevel="0" collapsed="false">
      <c r="A36" s="3" t="s">
        <v>35</v>
      </c>
      <c r="B36" s="3"/>
      <c r="C36" s="3"/>
      <c r="D36" s="3"/>
      <c r="E36" s="3"/>
    </row>
    <row r="37" customFormat="false" ht="16.5" hidden="false" customHeight="true" outlineLevel="0" collapsed="false">
      <c r="A37" s="9" t="s">
        <v>36</v>
      </c>
      <c r="B37" s="10" t="s">
        <v>37</v>
      </c>
      <c r="C37" s="10"/>
      <c r="D37" s="10"/>
      <c r="E37" s="10"/>
    </row>
    <row r="38" customFormat="false" ht="30" hidden="false" customHeight="true" outlineLevel="0" collapsed="false">
      <c r="A38" s="9" t="s">
        <v>17</v>
      </c>
      <c r="B38" s="10" t="s">
        <v>38</v>
      </c>
      <c r="C38" s="10"/>
      <c r="D38" s="10"/>
      <c r="E38" s="10"/>
    </row>
    <row r="39" customFormat="false" ht="30" hidden="false" customHeight="true" outlineLevel="0" collapsed="false">
      <c r="A39" s="9" t="s">
        <v>18</v>
      </c>
      <c r="B39" s="10" t="s">
        <v>39</v>
      </c>
      <c r="C39" s="10"/>
      <c r="D39" s="10"/>
      <c r="E39" s="10"/>
    </row>
    <row r="40" customFormat="false" ht="16.5" hidden="false" customHeight="true" outlineLevel="0" collapsed="false">
      <c r="A40" s="9" t="s">
        <v>19</v>
      </c>
      <c r="B40" s="10" t="s">
        <v>40</v>
      </c>
      <c r="C40" s="10"/>
      <c r="D40" s="10"/>
      <c r="E40" s="10"/>
    </row>
    <row r="41" customFormat="false" ht="16.5" hidden="false" customHeight="true" outlineLevel="0" collapsed="false">
      <c r="A41" s="11" t="s">
        <v>41</v>
      </c>
      <c r="B41" s="10" t="s">
        <v>42</v>
      </c>
      <c r="C41" s="10"/>
      <c r="D41" s="10"/>
      <c r="E41" s="10"/>
    </row>
    <row r="43" customFormat="false" ht="19.5" hidden="false" customHeight="true" outlineLevel="0" collapsed="false">
      <c r="A43" s="3" t="s">
        <v>43</v>
      </c>
      <c r="B43" s="3"/>
      <c r="C43" s="3"/>
      <c r="D43" s="3"/>
      <c r="E43" s="3"/>
    </row>
    <row r="44" customFormat="false" ht="30" hidden="false" customHeight="true" outlineLevel="0" collapsed="false">
      <c r="A44" s="12" t="s">
        <v>44</v>
      </c>
      <c r="B44" s="10" t="s">
        <v>45</v>
      </c>
      <c r="C44" s="10"/>
      <c r="D44" s="10"/>
      <c r="E44" s="10"/>
    </row>
    <row r="45" customFormat="false" ht="16.5" hidden="false" customHeight="true" outlineLevel="0" collapsed="false">
      <c r="A45" s="12" t="s">
        <v>46</v>
      </c>
      <c r="B45" s="10" t="s">
        <v>47</v>
      </c>
      <c r="C45" s="10"/>
      <c r="D45" s="10"/>
      <c r="E45" s="10"/>
    </row>
    <row r="46" customFormat="false" ht="55.5" hidden="false" customHeight="true" outlineLevel="0" collapsed="false">
      <c r="A46" s="13" t="s">
        <v>48</v>
      </c>
      <c r="B46" s="10" t="s">
        <v>49</v>
      </c>
      <c r="C46" s="10"/>
      <c r="D46" s="10"/>
      <c r="E46" s="10"/>
    </row>
    <row r="47" customFormat="false" ht="30" hidden="false" customHeight="true" outlineLevel="0" collapsed="false">
      <c r="A47" s="13" t="s">
        <v>48</v>
      </c>
      <c r="B47" s="10" t="s">
        <v>50</v>
      </c>
      <c r="C47" s="10"/>
      <c r="D47" s="10"/>
      <c r="E47" s="10"/>
    </row>
    <row r="48" customFormat="false" ht="42.75" hidden="false" customHeight="true" outlineLevel="0" collapsed="false">
      <c r="A48" s="13" t="s">
        <v>51</v>
      </c>
      <c r="B48" s="10" t="s">
        <v>52</v>
      </c>
      <c r="C48" s="10"/>
      <c r="D48" s="10"/>
      <c r="E48" s="10"/>
    </row>
    <row r="49" customFormat="false" ht="16.5" hidden="false" customHeight="true" outlineLevel="0" collapsed="false">
      <c r="A49" s="13" t="s">
        <v>51</v>
      </c>
      <c r="B49" s="10" t="s">
        <v>53</v>
      </c>
      <c r="C49" s="10"/>
      <c r="D49" s="10"/>
      <c r="E49" s="10"/>
    </row>
    <row r="50" customFormat="false" ht="30" hidden="false" customHeight="true" outlineLevel="0" collapsed="false">
      <c r="A50" s="12" t="s">
        <v>54</v>
      </c>
      <c r="B50" s="10" t="s">
        <v>55</v>
      </c>
      <c r="C50" s="10"/>
      <c r="D50" s="10"/>
      <c r="E50" s="10"/>
    </row>
    <row r="51" customFormat="false" ht="30" hidden="false" customHeight="true" outlineLevel="0" collapsed="false">
      <c r="A51" s="12" t="s">
        <v>56</v>
      </c>
      <c r="B51" s="10" t="s">
        <v>57</v>
      </c>
      <c r="C51" s="10"/>
      <c r="D51" s="10"/>
      <c r="E51" s="10"/>
    </row>
    <row r="52" customFormat="false" ht="30" hidden="false" customHeight="true" outlineLevel="0" collapsed="false">
      <c r="A52" s="12" t="s">
        <v>58</v>
      </c>
      <c r="B52" s="10" t="s">
        <v>59</v>
      </c>
      <c r="C52" s="10"/>
      <c r="D52" s="10"/>
      <c r="E52" s="10"/>
    </row>
    <row r="53" customFormat="false" ht="30" hidden="false" customHeight="true" outlineLevel="0" collapsed="false">
      <c r="A53" s="12" t="s">
        <v>60</v>
      </c>
      <c r="B53" s="10" t="s">
        <v>61</v>
      </c>
      <c r="C53" s="10"/>
      <c r="D53" s="10"/>
      <c r="E53" s="10"/>
    </row>
  </sheetData>
  <mergeCells count="22">
    <mergeCell ref="A1:E1"/>
    <mergeCell ref="A2:E2"/>
    <mergeCell ref="A4:E4"/>
    <mergeCell ref="A15:E15"/>
    <mergeCell ref="A26:E26"/>
    <mergeCell ref="A36:E36"/>
    <mergeCell ref="B37:E37"/>
    <mergeCell ref="B38:E38"/>
    <mergeCell ref="B39:E39"/>
    <mergeCell ref="B40:E40"/>
    <mergeCell ref="B41:E41"/>
    <mergeCell ref="A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4" t="s">
        <v>63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30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17</v>
      </c>
      <c r="I4" s="4" t="s">
        <v>33</v>
      </c>
      <c r="J4" s="4" t="s">
        <v>34</v>
      </c>
      <c r="K4" s="4" t="s">
        <v>71</v>
      </c>
    </row>
    <row r="5" customFormat="false" ht="30.75" hidden="false" customHeight="true" outlineLevel="0" collapsed="false">
      <c r="A5" s="6" t="n">
        <v>1</v>
      </c>
      <c r="B5" s="6" t="n">
        <v>1</v>
      </c>
      <c r="C5" s="5" t="s">
        <v>72</v>
      </c>
      <c r="D5" s="15" t="s">
        <v>73</v>
      </c>
      <c r="E5" s="6" t="n">
        <v>75</v>
      </c>
      <c r="F5" s="16" t="s">
        <v>74</v>
      </c>
      <c r="G5" s="5" t="s">
        <v>30</v>
      </c>
      <c r="H5" s="5" t="s">
        <v>75</v>
      </c>
      <c r="I5" s="5"/>
      <c r="J5" s="5"/>
      <c r="K5" s="5" t="s">
        <v>76</v>
      </c>
    </row>
    <row r="6" customFormat="false" ht="30.75" hidden="false" customHeight="true" outlineLevel="0" collapsed="false">
      <c r="A6" s="6" t="n">
        <v>1</v>
      </c>
      <c r="B6" s="6" t="n">
        <v>1</v>
      </c>
      <c r="C6" s="5" t="s">
        <v>77</v>
      </c>
      <c r="D6" s="15" t="s">
        <v>73</v>
      </c>
      <c r="E6" s="6" t="n">
        <v>45</v>
      </c>
      <c r="F6" s="16" t="s">
        <v>78</v>
      </c>
      <c r="G6" s="5" t="s">
        <v>30</v>
      </c>
      <c r="H6" s="5" t="s">
        <v>79</v>
      </c>
      <c r="I6" s="5"/>
      <c r="J6" s="5"/>
      <c r="K6" s="5" t="s">
        <v>76</v>
      </c>
    </row>
    <row r="7" customFormat="false" ht="18" hidden="false" customHeight="true" outlineLevel="0" collapsed="false">
      <c r="A7" s="6" t="n">
        <v>1</v>
      </c>
      <c r="B7" s="6" t="n">
        <v>1</v>
      </c>
      <c r="C7" s="5" t="s">
        <v>80</v>
      </c>
      <c r="D7" s="15" t="s">
        <v>73</v>
      </c>
      <c r="E7" s="6" t="n">
        <v>75</v>
      </c>
      <c r="F7" s="16" t="s">
        <v>81</v>
      </c>
      <c r="G7" s="5" t="s">
        <v>30</v>
      </c>
      <c r="H7" s="5" t="s">
        <v>82</v>
      </c>
      <c r="I7" s="5"/>
      <c r="J7" s="5"/>
      <c r="K7" s="5" t="s">
        <v>83</v>
      </c>
    </row>
    <row r="8" customFormat="false" ht="18" hidden="false" customHeight="true" outlineLevel="0" collapsed="false">
      <c r="A8" s="6" t="n">
        <v>1</v>
      </c>
      <c r="B8" s="6" t="n">
        <v>1</v>
      </c>
      <c r="C8" s="5" t="s">
        <v>84</v>
      </c>
      <c r="D8" s="15" t="s">
        <v>73</v>
      </c>
      <c r="E8" s="6" t="n">
        <v>60</v>
      </c>
      <c r="F8" s="16" t="s">
        <v>85</v>
      </c>
      <c r="G8" s="5" t="s">
        <v>30</v>
      </c>
      <c r="H8" s="5" t="s">
        <v>86</v>
      </c>
      <c r="I8" s="5"/>
      <c r="J8" s="5"/>
      <c r="K8" s="5" t="s">
        <v>83</v>
      </c>
    </row>
    <row r="9" customFormat="false" ht="18" hidden="false" customHeight="true" outlineLevel="0" collapsed="false">
      <c r="A9" s="6" t="n">
        <v>1</v>
      </c>
      <c r="B9" s="6" t="n">
        <v>1</v>
      </c>
      <c r="C9" s="5" t="s">
        <v>87</v>
      </c>
      <c r="D9" s="17" t="s">
        <v>88</v>
      </c>
      <c r="E9" s="6" t="n">
        <v>120</v>
      </c>
      <c r="F9" s="16" t="s">
        <v>89</v>
      </c>
      <c r="G9" s="5" t="s">
        <v>90</v>
      </c>
      <c r="H9" s="5" t="s">
        <v>91</v>
      </c>
      <c r="I9" s="5" t="s">
        <v>92</v>
      </c>
      <c r="J9" s="5" t="s">
        <v>93</v>
      </c>
      <c r="K9" s="5" t="s">
        <v>94</v>
      </c>
    </row>
    <row r="10" customFormat="false" ht="18" hidden="false" customHeight="true" outlineLevel="0" collapsed="false">
      <c r="A10" s="18" t="n">
        <v>2</v>
      </c>
      <c r="B10" s="18" t="n">
        <v>1</v>
      </c>
      <c r="C10" s="19" t="s">
        <v>95</v>
      </c>
      <c r="D10" s="20" t="s">
        <v>96</v>
      </c>
      <c r="E10" s="18" t="n">
        <v>90</v>
      </c>
      <c r="F10" s="21" t="s">
        <v>97</v>
      </c>
      <c r="G10" s="19" t="s">
        <v>30</v>
      </c>
      <c r="H10" s="19" t="s">
        <v>98</v>
      </c>
      <c r="I10" s="19" t="s">
        <v>99</v>
      </c>
      <c r="J10" s="19"/>
      <c r="K10" s="19" t="s">
        <v>83</v>
      </c>
    </row>
    <row r="11" customFormat="false" ht="30.75" hidden="false" customHeight="true" outlineLevel="0" collapsed="false">
      <c r="A11" s="18" t="n">
        <v>2</v>
      </c>
      <c r="B11" s="18" t="n">
        <v>1</v>
      </c>
      <c r="C11" s="19" t="s">
        <v>100</v>
      </c>
      <c r="D11" s="15" t="s">
        <v>73</v>
      </c>
      <c r="E11" s="18" t="n">
        <v>60</v>
      </c>
      <c r="F11" s="21" t="s">
        <v>101</v>
      </c>
      <c r="G11" s="19" t="s">
        <v>30</v>
      </c>
      <c r="H11" s="19" t="s">
        <v>102</v>
      </c>
      <c r="I11" s="19"/>
      <c r="J11" s="19"/>
      <c r="K11" s="19" t="s">
        <v>76</v>
      </c>
    </row>
    <row r="12" customFormat="false" ht="18" hidden="false" customHeight="true" outlineLevel="0" collapsed="false">
      <c r="A12" s="18" t="n">
        <v>2</v>
      </c>
      <c r="B12" s="18" t="n">
        <v>1</v>
      </c>
      <c r="C12" s="19" t="s">
        <v>103</v>
      </c>
      <c r="D12" s="22" t="s">
        <v>104</v>
      </c>
      <c r="E12" s="18" t="n">
        <v>60</v>
      </c>
      <c r="F12" s="21" t="s">
        <v>89</v>
      </c>
      <c r="G12" s="19" t="s">
        <v>90</v>
      </c>
      <c r="H12" s="19" t="s">
        <v>105</v>
      </c>
      <c r="I12" s="19" t="s">
        <v>106</v>
      </c>
      <c r="J12" s="19" t="s">
        <v>107</v>
      </c>
      <c r="K12" s="19" t="s">
        <v>108</v>
      </c>
    </row>
    <row r="13" customFormat="false" ht="18" hidden="false" customHeight="true" outlineLevel="0" collapsed="false">
      <c r="A13" s="18" t="n">
        <v>2</v>
      </c>
      <c r="B13" s="18" t="n">
        <v>1</v>
      </c>
      <c r="C13" s="19" t="s">
        <v>109</v>
      </c>
      <c r="D13" s="22" t="s">
        <v>104</v>
      </c>
      <c r="E13" s="18" t="n">
        <v>60</v>
      </c>
      <c r="F13" s="21" t="s">
        <v>110</v>
      </c>
      <c r="G13" s="19" t="s">
        <v>31</v>
      </c>
      <c r="H13" s="19" t="s">
        <v>111</v>
      </c>
      <c r="I13" s="19" t="s">
        <v>112</v>
      </c>
      <c r="J13" s="19"/>
      <c r="K13" s="19" t="s">
        <v>108</v>
      </c>
    </row>
    <row r="14" customFormat="false" ht="18" hidden="false" customHeight="true" outlineLevel="0" collapsed="false">
      <c r="A14" s="18" t="n">
        <v>2</v>
      </c>
      <c r="B14" s="18" t="n">
        <v>1</v>
      </c>
      <c r="C14" s="19" t="s">
        <v>113</v>
      </c>
      <c r="D14" s="17" t="s">
        <v>88</v>
      </c>
      <c r="E14" s="18" t="n">
        <v>60</v>
      </c>
      <c r="F14" s="21" t="s">
        <v>89</v>
      </c>
      <c r="G14" s="19" t="s">
        <v>90</v>
      </c>
      <c r="H14" s="19" t="s">
        <v>111</v>
      </c>
      <c r="I14" s="19" t="s">
        <v>112</v>
      </c>
      <c r="J14" s="19" t="s">
        <v>114</v>
      </c>
      <c r="K14" s="19" t="s">
        <v>108</v>
      </c>
    </row>
    <row r="15" customFormat="false" ht="30.75" hidden="false" customHeight="true" outlineLevel="0" collapsed="false">
      <c r="A15" s="6" t="n">
        <v>3</v>
      </c>
      <c r="B15" s="6" t="n">
        <v>1</v>
      </c>
      <c r="C15" s="5" t="s">
        <v>115</v>
      </c>
      <c r="D15" s="20" t="s">
        <v>96</v>
      </c>
      <c r="E15" s="6" t="n">
        <v>90</v>
      </c>
      <c r="F15" s="16" t="s">
        <v>116</v>
      </c>
      <c r="G15" s="5" t="s">
        <v>30</v>
      </c>
      <c r="H15" s="5" t="s">
        <v>117</v>
      </c>
      <c r="I15" s="5" t="s">
        <v>118</v>
      </c>
      <c r="J15" s="5"/>
      <c r="K15" s="5" t="s">
        <v>108</v>
      </c>
    </row>
    <row r="16" customFormat="false" ht="18" hidden="false" customHeight="true" outlineLevel="0" collapsed="false">
      <c r="A16" s="6" t="n">
        <v>3</v>
      </c>
      <c r="B16" s="6" t="n">
        <v>1</v>
      </c>
      <c r="C16" s="5" t="s">
        <v>119</v>
      </c>
      <c r="D16" s="17" t="s">
        <v>88</v>
      </c>
      <c r="E16" s="6" t="n">
        <v>30</v>
      </c>
      <c r="F16" s="16" t="s">
        <v>89</v>
      </c>
      <c r="G16" s="5" t="s">
        <v>90</v>
      </c>
      <c r="H16" s="5" t="s">
        <v>120</v>
      </c>
      <c r="I16" s="5" t="s">
        <v>118</v>
      </c>
      <c r="J16" s="5" t="s">
        <v>121</v>
      </c>
      <c r="K16" s="5" t="s">
        <v>108</v>
      </c>
    </row>
    <row r="17" customFormat="false" ht="30.75" hidden="false" customHeight="true" outlineLevel="0" collapsed="false">
      <c r="A17" s="6" t="n">
        <v>3</v>
      </c>
      <c r="B17" s="6" t="n">
        <v>1</v>
      </c>
      <c r="C17" s="5" t="s">
        <v>122</v>
      </c>
      <c r="D17" s="15" t="s">
        <v>73</v>
      </c>
      <c r="E17" s="6" t="n">
        <v>60</v>
      </c>
      <c r="F17" s="16" t="s">
        <v>123</v>
      </c>
      <c r="G17" s="5" t="s">
        <v>30</v>
      </c>
      <c r="H17" s="5" t="s">
        <v>124</v>
      </c>
      <c r="I17" s="5"/>
      <c r="J17" s="5"/>
      <c r="K17" s="5" t="s">
        <v>76</v>
      </c>
    </row>
    <row r="18" customFormat="false" ht="18" hidden="false" customHeight="true" outlineLevel="0" collapsed="false">
      <c r="A18" s="6" t="n">
        <v>3</v>
      </c>
      <c r="B18" s="6" t="n">
        <v>1</v>
      </c>
      <c r="C18" s="5" t="s">
        <v>125</v>
      </c>
      <c r="D18" s="17" t="s">
        <v>88</v>
      </c>
      <c r="E18" s="6" t="n">
        <v>60</v>
      </c>
      <c r="F18" s="16" t="s">
        <v>89</v>
      </c>
      <c r="G18" s="5" t="s">
        <v>90</v>
      </c>
      <c r="H18" s="5" t="s">
        <v>124</v>
      </c>
      <c r="I18" s="5" t="s">
        <v>126</v>
      </c>
      <c r="J18" s="5" t="s">
        <v>127</v>
      </c>
      <c r="K18" s="5" t="s">
        <v>94</v>
      </c>
    </row>
    <row r="19" customFormat="false" ht="30.75" hidden="false" customHeight="true" outlineLevel="0" collapsed="false">
      <c r="A19" s="6" t="n">
        <v>3</v>
      </c>
      <c r="B19" s="6" t="n">
        <v>1</v>
      </c>
      <c r="C19" s="5" t="s">
        <v>128</v>
      </c>
      <c r="D19" s="20" t="s">
        <v>96</v>
      </c>
      <c r="E19" s="6" t="n">
        <v>90</v>
      </c>
      <c r="F19" s="16" t="s">
        <v>129</v>
      </c>
      <c r="G19" s="5" t="s">
        <v>30</v>
      </c>
      <c r="H19" s="5" t="s">
        <v>130</v>
      </c>
      <c r="I19" s="5" t="s">
        <v>131</v>
      </c>
      <c r="J19" s="5"/>
      <c r="K19" s="5" t="s">
        <v>76</v>
      </c>
    </row>
    <row r="20" customFormat="false" ht="30.75" hidden="false" customHeight="true" outlineLevel="0" collapsed="false">
      <c r="A20" s="18" t="n">
        <v>4</v>
      </c>
      <c r="B20" s="18" t="n">
        <v>1</v>
      </c>
      <c r="C20" s="19" t="s">
        <v>132</v>
      </c>
      <c r="D20" s="15" t="s">
        <v>73</v>
      </c>
      <c r="E20" s="18" t="n">
        <v>45</v>
      </c>
      <c r="F20" s="21" t="s">
        <v>133</v>
      </c>
      <c r="G20" s="19" t="s">
        <v>30</v>
      </c>
      <c r="H20" s="19" t="s">
        <v>134</v>
      </c>
      <c r="I20" s="19"/>
      <c r="J20" s="19"/>
      <c r="K20" s="19" t="s">
        <v>76</v>
      </c>
    </row>
    <row r="21" customFormat="false" ht="30.75" hidden="false" customHeight="true" outlineLevel="0" collapsed="false">
      <c r="A21" s="18" t="n">
        <v>4</v>
      </c>
      <c r="B21" s="18" t="n">
        <v>1</v>
      </c>
      <c r="C21" s="19" t="s">
        <v>135</v>
      </c>
      <c r="D21" s="15" t="s">
        <v>73</v>
      </c>
      <c r="E21" s="18" t="n">
        <v>45</v>
      </c>
      <c r="F21" s="21" t="s">
        <v>136</v>
      </c>
      <c r="G21" s="19" t="s">
        <v>30</v>
      </c>
      <c r="H21" s="19" t="s">
        <v>137</v>
      </c>
      <c r="I21" s="19"/>
      <c r="J21" s="19"/>
      <c r="K21" s="19" t="s">
        <v>108</v>
      </c>
    </row>
    <row r="22" customFormat="false" ht="18" hidden="false" customHeight="true" outlineLevel="0" collapsed="false">
      <c r="A22" s="18" t="n">
        <v>4</v>
      </c>
      <c r="B22" s="18" t="n">
        <v>1</v>
      </c>
      <c r="C22" s="19" t="s">
        <v>138</v>
      </c>
      <c r="D22" s="17" t="s">
        <v>88</v>
      </c>
      <c r="E22" s="18" t="n">
        <v>60</v>
      </c>
      <c r="F22" s="21" t="s">
        <v>89</v>
      </c>
      <c r="G22" s="19" t="s">
        <v>90</v>
      </c>
      <c r="H22" s="19" t="s">
        <v>139</v>
      </c>
      <c r="I22" s="19" t="s">
        <v>140</v>
      </c>
      <c r="J22" s="19" t="s">
        <v>141</v>
      </c>
      <c r="K22" s="19" t="s">
        <v>142</v>
      </c>
    </row>
    <row r="23" customFormat="false" ht="18" hidden="false" customHeight="true" outlineLevel="0" collapsed="false">
      <c r="A23" s="18" t="n">
        <v>4</v>
      </c>
      <c r="B23" s="18" t="n">
        <v>1</v>
      </c>
      <c r="C23" s="19" t="s">
        <v>143</v>
      </c>
      <c r="D23" s="20" t="s">
        <v>96</v>
      </c>
      <c r="E23" s="18" t="n">
        <v>90</v>
      </c>
      <c r="F23" s="21" t="s">
        <v>144</v>
      </c>
      <c r="G23" s="19" t="s">
        <v>30</v>
      </c>
      <c r="H23" s="19" t="s">
        <v>145</v>
      </c>
      <c r="I23" s="19" t="s">
        <v>146</v>
      </c>
      <c r="J23" s="19"/>
      <c r="K23" s="19" t="s">
        <v>83</v>
      </c>
    </row>
    <row r="24" customFormat="false" ht="18" hidden="false" customHeight="true" outlineLevel="0" collapsed="false">
      <c r="A24" s="18" t="n">
        <v>4</v>
      </c>
      <c r="B24" s="18" t="n">
        <v>1</v>
      </c>
      <c r="C24" s="19" t="s">
        <v>147</v>
      </c>
      <c r="D24" s="17" t="s">
        <v>88</v>
      </c>
      <c r="E24" s="18" t="n">
        <v>90</v>
      </c>
      <c r="F24" s="21" t="s">
        <v>89</v>
      </c>
      <c r="G24" s="19" t="s">
        <v>90</v>
      </c>
      <c r="H24" s="19" t="s">
        <v>148</v>
      </c>
      <c r="I24" s="19" t="s">
        <v>149</v>
      </c>
      <c r="J24" s="19" t="s">
        <v>150</v>
      </c>
      <c r="K24" s="19" t="s">
        <v>108</v>
      </c>
    </row>
    <row r="25" customFormat="false" ht="18" hidden="false" customHeight="true" outlineLevel="0" collapsed="false">
      <c r="A25" s="6" t="n">
        <v>5</v>
      </c>
      <c r="B25" s="6" t="n">
        <v>1</v>
      </c>
      <c r="C25" s="5" t="s">
        <v>151</v>
      </c>
      <c r="D25" s="20" t="s">
        <v>96</v>
      </c>
      <c r="E25" s="6" t="n">
        <v>90</v>
      </c>
      <c r="F25" s="16" t="s">
        <v>152</v>
      </c>
      <c r="G25" s="5" t="s">
        <v>30</v>
      </c>
      <c r="H25" s="5" t="s">
        <v>153</v>
      </c>
      <c r="I25" s="5" t="s">
        <v>154</v>
      </c>
      <c r="J25" s="5"/>
      <c r="K25" s="5" t="s">
        <v>83</v>
      </c>
    </row>
    <row r="26" customFormat="false" ht="18" hidden="false" customHeight="true" outlineLevel="0" collapsed="false">
      <c r="A26" s="6" t="n">
        <v>5</v>
      </c>
      <c r="B26" s="6" t="n">
        <v>1</v>
      </c>
      <c r="C26" s="5" t="s">
        <v>155</v>
      </c>
      <c r="D26" s="17" t="s">
        <v>88</v>
      </c>
      <c r="E26" s="6" t="n">
        <v>75</v>
      </c>
      <c r="F26" s="16" t="s">
        <v>89</v>
      </c>
      <c r="G26" s="5" t="s">
        <v>90</v>
      </c>
      <c r="H26" s="5" t="s">
        <v>156</v>
      </c>
      <c r="I26" s="5" t="s">
        <v>157</v>
      </c>
      <c r="J26" s="5" t="s">
        <v>158</v>
      </c>
      <c r="K26" s="5" t="s">
        <v>108</v>
      </c>
    </row>
    <row r="27" customFormat="false" ht="18" hidden="false" customHeight="true" outlineLevel="0" collapsed="false">
      <c r="A27" s="6" t="n">
        <v>5</v>
      </c>
      <c r="B27" s="6" t="n">
        <v>1</v>
      </c>
      <c r="C27" s="5" t="s">
        <v>159</v>
      </c>
      <c r="D27" s="20" t="s">
        <v>96</v>
      </c>
      <c r="E27" s="6" t="n">
        <v>90</v>
      </c>
      <c r="F27" s="16" t="s">
        <v>160</v>
      </c>
      <c r="G27" s="5" t="s">
        <v>30</v>
      </c>
      <c r="H27" s="5" t="s">
        <v>161</v>
      </c>
      <c r="I27" s="5" t="s">
        <v>162</v>
      </c>
      <c r="J27" s="5"/>
      <c r="K27" s="5" t="s">
        <v>83</v>
      </c>
    </row>
    <row r="28" customFormat="false" ht="18" hidden="false" customHeight="true" outlineLevel="0" collapsed="false">
      <c r="A28" s="6" t="n">
        <v>5</v>
      </c>
      <c r="B28" s="6" t="n">
        <v>1</v>
      </c>
      <c r="C28" s="5" t="s">
        <v>163</v>
      </c>
      <c r="D28" s="17" t="s">
        <v>88</v>
      </c>
      <c r="E28" s="6" t="n">
        <v>75</v>
      </c>
      <c r="F28" s="16" t="s">
        <v>89</v>
      </c>
      <c r="G28" s="5" t="s">
        <v>90</v>
      </c>
      <c r="H28" s="5" t="s">
        <v>164</v>
      </c>
      <c r="I28" s="5" t="s">
        <v>165</v>
      </c>
      <c r="J28" s="5" t="s">
        <v>166</v>
      </c>
      <c r="K28" s="5" t="s">
        <v>108</v>
      </c>
    </row>
    <row r="29" customFormat="false" ht="18" hidden="false" customHeight="true" outlineLevel="0" collapsed="false">
      <c r="A29" s="18" t="n">
        <v>6</v>
      </c>
      <c r="B29" s="18" t="n">
        <v>2</v>
      </c>
      <c r="C29" s="19" t="s">
        <v>167</v>
      </c>
      <c r="D29" s="23" t="s">
        <v>32</v>
      </c>
      <c r="E29" s="18" t="n">
        <v>60</v>
      </c>
      <c r="F29" s="21" t="s">
        <v>168</v>
      </c>
      <c r="G29" s="19" t="s">
        <v>32</v>
      </c>
      <c r="H29" s="19"/>
      <c r="I29" s="19" t="s">
        <v>169</v>
      </c>
      <c r="J29" s="19"/>
      <c r="K29" s="19" t="s">
        <v>142</v>
      </c>
    </row>
    <row r="30" customFormat="false" ht="18" hidden="false" customHeight="true" outlineLevel="0" collapsed="false">
      <c r="A30" s="18" t="n">
        <v>6</v>
      </c>
      <c r="B30" s="18" t="n">
        <v>2</v>
      </c>
      <c r="C30" s="19" t="s">
        <v>170</v>
      </c>
      <c r="D30" s="17" t="s">
        <v>88</v>
      </c>
      <c r="E30" s="18" t="n">
        <v>45</v>
      </c>
      <c r="F30" s="21" t="s">
        <v>89</v>
      </c>
      <c r="G30" s="19" t="s">
        <v>90</v>
      </c>
      <c r="H30" s="19"/>
      <c r="I30" s="19" t="s">
        <v>169</v>
      </c>
      <c r="J30" s="19"/>
      <c r="K30" s="19" t="s">
        <v>142</v>
      </c>
    </row>
    <row r="31" customFormat="false" ht="30.75" hidden="false" customHeight="true" outlineLevel="0" collapsed="false">
      <c r="A31" s="18" t="n">
        <v>6</v>
      </c>
      <c r="B31" s="18" t="n">
        <v>2</v>
      </c>
      <c r="C31" s="19" t="s">
        <v>171</v>
      </c>
      <c r="D31" s="20" t="s">
        <v>96</v>
      </c>
      <c r="E31" s="18" t="n">
        <v>90</v>
      </c>
      <c r="F31" s="21" t="s">
        <v>172</v>
      </c>
      <c r="G31" s="19" t="s">
        <v>30</v>
      </c>
      <c r="H31" s="19" t="s">
        <v>173</v>
      </c>
      <c r="I31" s="19" t="s">
        <v>174</v>
      </c>
      <c r="J31" s="19"/>
      <c r="K31" s="19" t="s">
        <v>83</v>
      </c>
    </row>
    <row r="32" customFormat="false" ht="18" hidden="false" customHeight="true" outlineLevel="0" collapsed="false">
      <c r="A32" s="18" t="n">
        <v>6</v>
      </c>
      <c r="B32" s="18" t="n">
        <v>2</v>
      </c>
      <c r="C32" s="19" t="s">
        <v>175</v>
      </c>
      <c r="D32" s="15" t="s">
        <v>73</v>
      </c>
      <c r="E32" s="18" t="n">
        <v>60</v>
      </c>
      <c r="F32" s="21" t="s">
        <v>176</v>
      </c>
      <c r="G32" s="19" t="s">
        <v>30</v>
      </c>
      <c r="H32" s="19" t="s">
        <v>177</v>
      </c>
      <c r="I32" s="19"/>
      <c r="J32" s="19"/>
      <c r="K32" s="19" t="s">
        <v>83</v>
      </c>
    </row>
    <row r="33" customFormat="false" ht="18" hidden="false" customHeight="true" outlineLevel="0" collapsed="false">
      <c r="A33" s="18" t="n">
        <v>6</v>
      </c>
      <c r="B33" s="18" t="n">
        <v>2</v>
      </c>
      <c r="C33" s="19" t="s">
        <v>178</v>
      </c>
      <c r="D33" s="22" t="s">
        <v>104</v>
      </c>
      <c r="E33" s="18" t="n">
        <v>120</v>
      </c>
      <c r="F33" s="21" t="s">
        <v>179</v>
      </c>
      <c r="G33" s="19" t="s">
        <v>31</v>
      </c>
      <c r="H33" s="19" t="s">
        <v>180</v>
      </c>
      <c r="I33" s="19" t="s">
        <v>181</v>
      </c>
      <c r="J33" s="19"/>
      <c r="K33" s="19" t="s">
        <v>108</v>
      </c>
    </row>
    <row r="34" customFormat="false" ht="18" hidden="false" customHeight="true" outlineLevel="0" collapsed="false">
      <c r="A34" s="6" t="n">
        <v>7</v>
      </c>
      <c r="B34" s="6" t="n">
        <v>2</v>
      </c>
      <c r="C34" s="5" t="s">
        <v>182</v>
      </c>
      <c r="D34" s="22" t="s">
        <v>104</v>
      </c>
      <c r="E34" s="6" t="n">
        <v>90</v>
      </c>
      <c r="F34" s="16" t="s">
        <v>183</v>
      </c>
      <c r="G34" s="5" t="s">
        <v>31</v>
      </c>
      <c r="H34" s="5" t="s">
        <v>184</v>
      </c>
      <c r="I34" s="5" t="s">
        <v>185</v>
      </c>
      <c r="J34" s="5"/>
      <c r="K34" s="5" t="s">
        <v>108</v>
      </c>
    </row>
    <row r="35" customFormat="false" ht="30.75" hidden="false" customHeight="true" outlineLevel="0" collapsed="false">
      <c r="A35" s="6" t="n">
        <v>7</v>
      </c>
      <c r="B35" s="6" t="n">
        <v>2</v>
      </c>
      <c r="C35" s="5" t="s">
        <v>186</v>
      </c>
      <c r="D35" s="20" t="s">
        <v>96</v>
      </c>
      <c r="E35" s="6" t="n">
        <v>90</v>
      </c>
      <c r="F35" s="16" t="s">
        <v>187</v>
      </c>
      <c r="G35" s="5" t="s">
        <v>30</v>
      </c>
      <c r="H35" s="5" t="s">
        <v>188</v>
      </c>
      <c r="I35" s="5" t="s">
        <v>189</v>
      </c>
      <c r="J35" s="5"/>
      <c r="K35" s="5" t="s">
        <v>76</v>
      </c>
    </row>
    <row r="36" customFormat="false" ht="18" hidden="false" customHeight="true" outlineLevel="0" collapsed="false">
      <c r="A36" s="6" t="n">
        <v>7</v>
      </c>
      <c r="B36" s="6" t="n">
        <v>2</v>
      </c>
      <c r="C36" s="5" t="s">
        <v>190</v>
      </c>
      <c r="D36" s="17" t="s">
        <v>88</v>
      </c>
      <c r="E36" s="6" t="n">
        <v>150</v>
      </c>
      <c r="F36" s="16" t="s">
        <v>89</v>
      </c>
      <c r="G36" s="5" t="s">
        <v>90</v>
      </c>
      <c r="H36" s="5" t="s">
        <v>191</v>
      </c>
      <c r="I36" s="5" t="s">
        <v>192</v>
      </c>
      <c r="J36" s="5" t="s">
        <v>193</v>
      </c>
      <c r="K36" s="5" t="s">
        <v>108</v>
      </c>
    </row>
    <row r="37" customFormat="false" ht="18" hidden="false" customHeight="true" outlineLevel="0" collapsed="false">
      <c r="A37" s="18" t="n">
        <v>8</v>
      </c>
      <c r="B37" s="18" t="n">
        <v>2</v>
      </c>
      <c r="C37" s="19" t="s">
        <v>190</v>
      </c>
      <c r="D37" s="17" t="s">
        <v>88</v>
      </c>
      <c r="E37" s="18" t="n">
        <v>270</v>
      </c>
      <c r="F37" s="21" t="s">
        <v>89</v>
      </c>
      <c r="G37" s="19" t="s">
        <v>90</v>
      </c>
      <c r="H37" s="19" t="s">
        <v>191</v>
      </c>
      <c r="I37" s="19" t="s">
        <v>194</v>
      </c>
      <c r="J37" s="19" t="s">
        <v>195</v>
      </c>
      <c r="K37" s="19" t="s">
        <v>108</v>
      </c>
    </row>
    <row r="38" customFormat="false" ht="18" hidden="false" customHeight="true" outlineLevel="0" collapsed="false">
      <c r="A38" s="18" t="n">
        <v>8</v>
      </c>
      <c r="B38" s="18" t="n">
        <v>2</v>
      </c>
      <c r="C38" s="19" t="s">
        <v>196</v>
      </c>
      <c r="D38" s="22" t="s">
        <v>104</v>
      </c>
      <c r="E38" s="18" t="n">
        <v>60</v>
      </c>
      <c r="F38" s="21" t="s">
        <v>89</v>
      </c>
      <c r="G38" s="19" t="s">
        <v>90</v>
      </c>
      <c r="H38" s="19"/>
      <c r="I38" s="19" t="s">
        <v>197</v>
      </c>
      <c r="J38" s="19"/>
      <c r="K38" s="19" t="s">
        <v>142</v>
      </c>
    </row>
    <row r="39" customFormat="false" ht="30.75" hidden="false" customHeight="true" outlineLevel="0" collapsed="false">
      <c r="A39" s="6" t="n">
        <v>9</v>
      </c>
      <c r="B39" s="6" t="n">
        <v>2</v>
      </c>
      <c r="C39" s="5" t="s">
        <v>198</v>
      </c>
      <c r="D39" s="20" t="s">
        <v>96</v>
      </c>
      <c r="E39" s="6" t="n">
        <v>90</v>
      </c>
      <c r="F39" s="16" t="s">
        <v>199</v>
      </c>
      <c r="G39" s="5" t="s">
        <v>30</v>
      </c>
      <c r="H39" s="5" t="s">
        <v>200</v>
      </c>
      <c r="I39" s="5" t="s">
        <v>201</v>
      </c>
      <c r="J39" s="5"/>
      <c r="K39" s="5" t="s">
        <v>76</v>
      </c>
    </row>
    <row r="40" customFormat="false" ht="18" hidden="false" customHeight="true" outlineLevel="0" collapsed="false">
      <c r="A40" s="6" t="n">
        <v>9</v>
      </c>
      <c r="B40" s="6" t="n">
        <v>2</v>
      </c>
      <c r="C40" s="5" t="s">
        <v>202</v>
      </c>
      <c r="D40" s="17" t="s">
        <v>88</v>
      </c>
      <c r="E40" s="6" t="n">
        <v>90</v>
      </c>
      <c r="F40" s="16" t="s">
        <v>89</v>
      </c>
      <c r="G40" s="5" t="s">
        <v>90</v>
      </c>
      <c r="H40" s="5" t="s">
        <v>203</v>
      </c>
      <c r="I40" s="5" t="s">
        <v>204</v>
      </c>
      <c r="J40" s="5" t="s">
        <v>205</v>
      </c>
      <c r="K40" s="5" t="s">
        <v>108</v>
      </c>
    </row>
    <row r="41" customFormat="false" ht="30.75" hidden="false" customHeight="true" outlineLevel="0" collapsed="false">
      <c r="A41" s="6" t="n">
        <v>9</v>
      </c>
      <c r="B41" s="6" t="n">
        <v>2</v>
      </c>
      <c r="C41" s="5" t="s">
        <v>206</v>
      </c>
      <c r="D41" s="20" t="s">
        <v>96</v>
      </c>
      <c r="E41" s="6" t="n">
        <v>60</v>
      </c>
      <c r="F41" s="16" t="s">
        <v>207</v>
      </c>
      <c r="G41" s="5" t="s">
        <v>30</v>
      </c>
      <c r="H41" s="5" t="s">
        <v>208</v>
      </c>
      <c r="I41" s="5" t="s">
        <v>209</v>
      </c>
      <c r="J41" s="5"/>
      <c r="K41" s="5" t="s">
        <v>83</v>
      </c>
    </row>
    <row r="42" customFormat="false" ht="18" hidden="false" customHeight="true" outlineLevel="0" collapsed="false">
      <c r="A42" s="6" t="n">
        <v>9</v>
      </c>
      <c r="B42" s="6" t="n">
        <v>2</v>
      </c>
      <c r="C42" s="5" t="s">
        <v>210</v>
      </c>
      <c r="D42" s="20" t="s">
        <v>96</v>
      </c>
      <c r="E42" s="6" t="n">
        <v>90</v>
      </c>
      <c r="F42" s="16" t="s">
        <v>211</v>
      </c>
      <c r="G42" s="5" t="s">
        <v>30</v>
      </c>
      <c r="H42" s="5" t="s">
        <v>212</v>
      </c>
      <c r="I42" s="5" t="s">
        <v>213</v>
      </c>
      <c r="J42" s="5"/>
      <c r="K42" s="5" t="s">
        <v>83</v>
      </c>
    </row>
    <row r="43" customFormat="false" ht="18" hidden="false" customHeight="true" outlineLevel="0" collapsed="false">
      <c r="A43" s="18" t="n">
        <v>10</v>
      </c>
      <c r="B43" s="18" t="n">
        <v>2</v>
      </c>
      <c r="C43" s="19" t="s">
        <v>214</v>
      </c>
      <c r="D43" s="17" t="s">
        <v>88</v>
      </c>
      <c r="E43" s="18" t="n">
        <v>120</v>
      </c>
      <c r="F43" s="21" t="s">
        <v>89</v>
      </c>
      <c r="G43" s="19" t="s">
        <v>90</v>
      </c>
      <c r="H43" s="19" t="s">
        <v>215</v>
      </c>
      <c r="I43" s="19" t="s">
        <v>216</v>
      </c>
      <c r="J43" s="19" t="s">
        <v>217</v>
      </c>
      <c r="K43" s="19" t="s">
        <v>142</v>
      </c>
    </row>
    <row r="44" customFormat="false" ht="18" hidden="false" customHeight="true" outlineLevel="0" collapsed="false">
      <c r="A44" s="18" t="n">
        <v>10</v>
      </c>
      <c r="B44" s="18" t="n">
        <v>2</v>
      </c>
      <c r="C44" s="19" t="s">
        <v>218</v>
      </c>
      <c r="D44" s="23" t="s">
        <v>32</v>
      </c>
      <c r="E44" s="18" t="n">
        <v>120</v>
      </c>
      <c r="F44" s="21" t="s">
        <v>219</v>
      </c>
      <c r="G44" s="19" t="s">
        <v>32</v>
      </c>
      <c r="H44" s="19"/>
      <c r="I44" s="19" t="s">
        <v>220</v>
      </c>
      <c r="J44" s="19"/>
      <c r="K44" s="19" t="s">
        <v>142</v>
      </c>
    </row>
    <row r="45" customFormat="false" ht="18" hidden="false" customHeight="true" outlineLevel="0" collapsed="false">
      <c r="A45" s="18" t="n">
        <v>10</v>
      </c>
      <c r="B45" s="18" t="n">
        <v>2</v>
      </c>
      <c r="C45" s="19" t="s">
        <v>221</v>
      </c>
      <c r="D45" s="22" t="s">
        <v>104</v>
      </c>
      <c r="E45" s="18" t="n">
        <v>90</v>
      </c>
      <c r="F45" s="21" t="s">
        <v>89</v>
      </c>
      <c r="G45" s="19" t="s">
        <v>90</v>
      </c>
      <c r="H45" s="19"/>
      <c r="I45" s="19" t="s">
        <v>220</v>
      </c>
      <c r="J45" s="19"/>
      <c r="K45" s="19" t="s">
        <v>142</v>
      </c>
    </row>
    <row r="46" customFormat="false" ht="30.75" hidden="false" customHeight="true" outlineLevel="0" collapsed="false">
      <c r="A46" s="6" t="n">
        <v>11</v>
      </c>
      <c r="B46" s="6" t="n">
        <v>3</v>
      </c>
      <c r="C46" s="5" t="s">
        <v>222</v>
      </c>
      <c r="D46" s="22" t="s">
        <v>104</v>
      </c>
      <c r="E46" s="6" t="n">
        <v>120</v>
      </c>
      <c r="F46" s="16" t="s">
        <v>223</v>
      </c>
      <c r="G46" s="5" t="s">
        <v>31</v>
      </c>
      <c r="H46" s="5" t="s">
        <v>224</v>
      </c>
      <c r="I46" s="5" t="s">
        <v>225</v>
      </c>
      <c r="J46" s="5"/>
      <c r="K46" s="5" t="s">
        <v>108</v>
      </c>
    </row>
    <row r="47" customFormat="false" ht="18" hidden="false" customHeight="true" outlineLevel="0" collapsed="false">
      <c r="A47" s="6" t="n">
        <v>11</v>
      </c>
      <c r="B47" s="6" t="n">
        <v>3</v>
      </c>
      <c r="C47" s="5" t="s">
        <v>226</v>
      </c>
      <c r="D47" s="17" t="s">
        <v>88</v>
      </c>
      <c r="E47" s="6" t="n">
        <v>165</v>
      </c>
      <c r="F47" s="16" t="s">
        <v>89</v>
      </c>
      <c r="G47" s="5" t="s">
        <v>90</v>
      </c>
      <c r="H47" s="5" t="s">
        <v>227</v>
      </c>
      <c r="I47" s="5" t="s">
        <v>225</v>
      </c>
      <c r="J47" s="5" t="s">
        <v>228</v>
      </c>
      <c r="K47" s="5" t="s">
        <v>108</v>
      </c>
    </row>
    <row r="48" customFormat="false" ht="18" hidden="false" customHeight="true" outlineLevel="0" collapsed="false">
      <c r="A48" s="6" t="n">
        <v>11</v>
      </c>
      <c r="B48" s="6" t="n">
        <v>3</v>
      </c>
      <c r="C48" s="5" t="s">
        <v>229</v>
      </c>
      <c r="D48" s="15" t="s">
        <v>73</v>
      </c>
      <c r="E48" s="6" t="n">
        <v>45</v>
      </c>
      <c r="F48" s="16" t="s">
        <v>230</v>
      </c>
      <c r="G48" s="5" t="s">
        <v>30</v>
      </c>
      <c r="H48" s="5" t="s">
        <v>231</v>
      </c>
      <c r="I48" s="5"/>
      <c r="J48" s="5"/>
      <c r="K48" s="5" t="s">
        <v>83</v>
      </c>
    </row>
    <row r="49" customFormat="false" ht="30.75" hidden="false" customHeight="true" outlineLevel="0" collapsed="false">
      <c r="A49" s="18" t="n">
        <v>12</v>
      </c>
      <c r="B49" s="18" t="n">
        <v>3</v>
      </c>
      <c r="C49" s="19" t="s">
        <v>232</v>
      </c>
      <c r="D49" s="17" t="s">
        <v>88</v>
      </c>
      <c r="E49" s="18" t="n">
        <v>270</v>
      </c>
      <c r="F49" s="21" t="s">
        <v>89</v>
      </c>
      <c r="G49" s="19" t="s">
        <v>90</v>
      </c>
      <c r="H49" s="19" t="s">
        <v>233</v>
      </c>
      <c r="I49" s="19" t="s">
        <v>234</v>
      </c>
      <c r="J49" s="19" t="s">
        <v>235</v>
      </c>
      <c r="K49" s="19" t="s">
        <v>108</v>
      </c>
    </row>
    <row r="50" customFormat="false" ht="18" hidden="false" customHeight="true" outlineLevel="0" collapsed="false">
      <c r="A50" s="18" t="n">
        <v>12</v>
      </c>
      <c r="B50" s="18" t="n">
        <v>3</v>
      </c>
      <c r="C50" s="19" t="s">
        <v>196</v>
      </c>
      <c r="D50" s="22" t="s">
        <v>104</v>
      </c>
      <c r="E50" s="18" t="n">
        <v>60</v>
      </c>
      <c r="F50" s="21" t="s">
        <v>89</v>
      </c>
      <c r="G50" s="19" t="s">
        <v>90</v>
      </c>
      <c r="H50" s="19"/>
      <c r="I50" s="19" t="s">
        <v>236</v>
      </c>
      <c r="J50" s="19"/>
      <c r="K50" s="19" t="s">
        <v>142</v>
      </c>
    </row>
    <row r="51" customFormat="false" ht="18" hidden="false" customHeight="true" outlineLevel="0" collapsed="false">
      <c r="A51" s="6" t="n">
        <v>13</v>
      </c>
      <c r="B51" s="6" t="n">
        <v>3</v>
      </c>
      <c r="C51" s="5" t="s">
        <v>232</v>
      </c>
      <c r="D51" s="17" t="s">
        <v>88</v>
      </c>
      <c r="E51" s="6" t="n">
        <v>180</v>
      </c>
      <c r="F51" s="16" t="s">
        <v>89</v>
      </c>
      <c r="G51" s="5" t="s">
        <v>90</v>
      </c>
      <c r="H51" s="5" t="s">
        <v>237</v>
      </c>
      <c r="I51" s="5" t="s">
        <v>238</v>
      </c>
      <c r="J51" s="5" t="s">
        <v>239</v>
      </c>
      <c r="K51" s="5" t="s">
        <v>108</v>
      </c>
    </row>
    <row r="52" customFormat="false" ht="18" hidden="false" customHeight="true" outlineLevel="0" collapsed="false">
      <c r="A52" s="6" t="n">
        <v>13</v>
      </c>
      <c r="B52" s="6" t="n">
        <v>3</v>
      </c>
      <c r="C52" s="5" t="s">
        <v>240</v>
      </c>
      <c r="D52" s="17" t="s">
        <v>88</v>
      </c>
      <c r="E52" s="6" t="n">
        <v>90</v>
      </c>
      <c r="F52" s="16" t="s">
        <v>89</v>
      </c>
      <c r="G52" s="5" t="s">
        <v>90</v>
      </c>
      <c r="H52" s="5" t="s">
        <v>241</v>
      </c>
      <c r="I52" s="5" t="s">
        <v>242</v>
      </c>
      <c r="J52" s="5"/>
      <c r="K52" s="5" t="s">
        <v>94</v>
      </c>
    </row>
    <row r="53" customFormat="false" ht="18" hidden="false" customHeight="true" outlineLevel="0" collapsed="false">
      <c r="A53" s="6" t="n">
        <v>13</v>
      </c>
      <c r="B53" s="6" t="n">
        <v>3</v>
      </c>
      <c r="C53" s="5" t="s">
        <v>243</v>
      </c>
      <c r="D53" s="22" t="s">
        <v>104</v>
      </c>
      <c r="E53" s="6" t="n">
        <v>60</v>
      </c>
      <c r="F53" s="16" t="s">
        <v>89</v>
      </c>
      <c r="G53" s="5" t="s">
        <v>90</v>
      </c>
      <c r="H53" s="5" t="s">
        <v>244</v>
      </c>
      <c r="I53" s="5" t="s">
        <v>245</v>
      </c>
      <c r="J53" s="5"/>
      <c r="K53" s="5" t="s">
        <v>94</v>
      </c>
    </row>
    <row r="54" customFormat="false" ht="18" hidden="false" customHeight="true" outlineLevel="0" collapsed="false">
      <c r="A54" s="18" t="n">
        <v>14</v>
      </c>
      <c r="B54" s="18" t="n">
        <v>3</v>
      </c>
      <c r="C54" s="19" t="s">
        <v>246</v>
      </c>
      <c r="D54" s="17" t="s">
        <v>88</v>
      </c>
      <c r="E54" s="18" t="n">
        <v>240</v>
      </c>
      <c r="F54" s="21" t="s">
        <v>89</v>
      </c>
      <c r="G54" s="19" t="s">
        <v>90</v>
      </c>
      <c r="H54" s="19" t="s">
        <v>247</v>
      </c>
      <c r="I54" s="19" t="s">
        <v>248</v>
      </c>
      <c r="J54" s="19"/>
      <c r="K54" s="19" t="s">
        <v>94</v>
      </c>
    </row>
    <row r="55" customFormat="false" ht="18" hidden="false" customHeight="true" outlineLevel="0" collapsed="false">
      <c r="A55" s="18" t="n">
        <v>14</v>
      </c>
      <c r="B55" s="18" t="n">
        <v>3</v>
      </c>
      <c r="C55" s="19" t="s">
        <v>249</v>
      </c>
      <c r="D55" s="22" t="s">
        <v>104</v>
      </c>
      <c r="E55" s="18" t="n">
        <v>60</v>
      </c>
      <c r="F55" s="21" t="s">
        <v>89</v>
      </c>
      <c r="G55" s="19" t="s">
        <v>90</v>
      </c>
      <c r="H55" s="19"/>
      <c r="I55" s="19" t="s">
        <v>248</v>
      </c>
      <c r="J55" s="19"/>
      <c r="K55" s="19" t="s">
        <v>94</v>
      </c>
    </row>
    <row r="56" customFormat="false" ht="18" hidden="false" customHeight="true" outlineLevel="0" collapsed="false">
      <c r="A56" s="18" t="n">
        <v>14</v>
      </c>
      <c r="B56" s="18" t="n">
        <v>3</v>
      </c>
      <c r="C56" s="19" t="s">
        <v>250</v>
      </c>
      <c r="D56" s="15" t="s">
        <v>73</v>
      </c>
      <c r="E56" s="18" t="n">
        <v>30</v>
      </c>
      <c r="F56" s="21" t="s">
        <v>251</v>
      </c>
      <c r="G56" s="19" t="s">
        <v>30</v>
      </c>
      <c r="H56" s="19" t="s">
        <v>252</v>
      </c>
      <c r="I56" s="19"/>
      <c r="J56" s="19"/>
      <c r="K56" s="19" t="s">
        <v>83</v>
      </c>
    </row>
    <row r="57" customFormat="false" ht="18" hidden="false" customHeight="true" outlineLevel="0" collapsed="false">
      <c r="A57" s="6" t="n">
        <v>15</v>
      </c>
      <c r="B57" s="6" t="n">
        <v>3</v>
      </c>
      <c r="C57" s="5" t="s">
        <v>253</v>
      </c>
      <c r="D57" s="23" t="s">
        <v>32</v>
      </c>
      <c r="E57" s="6" t="n">
        <v>60</v>
      </c>
      <c r="F57" s="16" t="s">
        <v>254</v>
      </c>
      <c r="G57" s="5" t="s">
        <v>32</v>
      </c>
      <c r="H57" s="5"/>
      <c r="I57" s="5" t="s">
        <v>255</v>
      </c>
      <c r="J57" s="5"/>
      <c r="K57" s="5" t="s">
        <v>142</v>
      </c>
    </row>
    <row r="58" customFormat="false" ht="18" hidden="false" customHeight="true" outlineLevel="0" collapsed="false">
      <c r="A58" s="6" t="n">
        <v>15</v>
      </c>
      <c r="B58" s="6" t="n">
        <v>3</v>
      </c>
      <c r="C58" s="5" t="s">
        <v>256</v>
      </c>
      <c r="D58" s="23" t="s">
        <v>32</v>
      </c>
      <c r="E58" s="6" t="n">
        <v>150</v>
      </c>
      <c r="F58" s="16" t="s">
        <v>254</v>
      </c>
      <c r="G58" s="5" t="s">
        <v>32</v>
      </c>
      <c r="H58" s="5"/>
      <c r="I58" s="5" t="s">
        <v>255</v>
      </c>
      <c r="J58" s="5"/>
      <c r="K58" s="5" t="s">
        <v>142</v>
      </c>
    </row>
    <row r="59" customFormat="false" ht="18" hidden="false" customHeight="true" outlineLevel="0" collapsed="false">
      <c r="A59" s="6" t="n">
        <v>15</v>
      </c>
      <c r="B59" s="6" t="n">
        <v>3</v>
      </c>
      <c r="C59" s="5" t="s">
        <v>257</v>
      </c>
      <c r="D59" s="22" t="s">
        <v>104</v>
      </c>
      <c r="E59" s="6" t="n">
        <v>60</v>
      </c>
      <c r="F59" s="16" t="s">
        <v>89</v>
      </c>
      <c r="G59" s="5" t="s">
        <v>90</v>
      </c>
      <c r="H59" s="5"/>
      <c r="I59" s="5" t="s">
        <v>258</v>
      </c>
      <c r="J59" s="5"/>
      <c r="K59" s="5" t="s">
        <v>142</v>
      </c>
    </row>
    <row r="60" customFormat="false" ht="18" hidden="false" customHeight="true" outlineLevel="0" collapsed="false">
      <c r="A60" s="6" t="n">
        <v>15</v>
      </c>
      <c r="B60" s="6" t="n">
        <v>3</v>
      </c>
      <c r="C60" s="5" t="s">
        <v>259</v>
      </c>
      <c r="D60" s="22" t="s">
        <v>104</v>
      </c>
      <c r="E60" s="6" t="n">
        <v>60</v>
      </c>
      <c r="F60" s="16" t="s">
        <v>89</v>
      </c>
      <c r="G60" s="5" t="s">
        <v>90</v>
      </c>
      <c r="H60" s="5" t="s">
        <v>260</v>
      </c>
      <c r="I60" s="5" t="s">
        <v>261</v>
      </c>
      <c r="J60" s="5"/>
      <c r="K60" s="5" t="s">
        <v>94</v>
      </c>
    </row>
    <row r="61" customFormat="false" ht="18" hidden="false" customHeight="true" outlineLevel="0" collapsed="false">
      <c r="A61" s="6" t="n">
        <v>15</v>
      </c>
      <c r="B61" s="6" t="n">
        <v>3</v>
      </c>
      <c r="C61" s="5" t="s">
        <v>262</v>
      </c>
      <c r="D61" s="17" t="s">
        <v>88</v>
      </c>
      <c r="E61" s="6" t="n">
        <v>45</v>
      </c>
      <c r="F61" s="16" t="s">
        <v>89</v>
      </c>
      <c r="G61" s="5" t="s">
        <v>90</v>
      </c>
      <c r="H61" s="5"/>
      <c r="I61" s="5" t="s">
        <v>258</v>
      </c>
      <c r="J61" s="5"/>
      <c r="K61" s="5" t="s">
        <v>142</v>
      </c>
    </row>
  </sheetData>
  <autoFilter ref="A4:K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44"/>
    <col collapsed="false" customWidth="true" hidden="false" outlineLevel="0" max="8" min="8" style="0" width="7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4" t="s">
        <v>264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customFormat="false" ht="30" hidden="false" customHeight="true" outlineLevel="0" collapsed="false">
      <c r="A4" s="4" t="s">
        <v>265</v>
      </c>
      <c r="B4" s="4" t="s">
        <v>266</v>
      </c>
      <c r="C4" s="4" t="s">
        <v>267</v>
      </c>
      <c r="D4" s="4" t="s">
        <v>268</v>
      </c>
      <c r="E4" s="4" t="s">
        <v>269</v>
      </c>
      <c r="F4" s="4" t="s">
        <v>65</v>
      </c>
      <c r="G4" s="4" t="s">
        <v>270</v>
      </c>
      <c r="H4" s="4" t="s">
        <v>271</v>
      </c>
      <c r="I4" s="4" t="s">
        <v>272</v>
      </c>
      <c r="J4" s="4" t="s">
        <v>273</v>
      </c>
      <c r="K4" s="4" t="s">
        <v>274</v>
      </c>
      <c r="L4" s="4" t="s">
        <v>275</v>
      </c>
      <c r="M4" s="4" t="s">
        <v>276</v>
      </c>
      <c r="N4" s="4" t="s">
        <v>277</v>
      </c>
      <c r="O4" s="4" t="s">
        <v>16</v>
      </c>
    </row>
    <row r="5" customFormat="false" ht="18" hidden="false" customHeight="true" outlineLevel="0" collapsed="false">
      <c r="A5" s="16" t="s">
        <v>278</v>
      </c>
      <c r="B5" s="5" t="s">
        <v>279</v>
      </c>
      <c r="C5" s="5" t="s">
        <v>7</v>
      </c>
      <c r="D5" s="5" t="s">
        <v>280</v>
      </c>
      <c r="E5" s="6" t="n">
        <v>1</v>
      </c>
      <c r="F5" s="6" t="n">
        <v>1</v>
      </c>
      <c r="G5" s="5" t="s">
        <v>281</v>
      </c>
      <c r="H5" s="6" t="n">
        <v>0</v>
      </c>
      <c r="I5" s="5" t="s">
        <v>89</v>
      </c>
      <c r="J5" s="5" t="s">
        <v>142</v>
      </c>
      <c r="K5" s="24" t="s">
        <v>282</v>
      </c>
      <c r="L5" s="25"/>
      <c r="M5" s="25"/>
      <c r="N5" s="25"/>
      <c r="O5" s="24" t="s">
        <v>20</v>
      </c>
    </row>
    <row r="6" customFormat="false" ht="30.75" hidden="false" customHeight="true" outlineLevel="0" collapsed="false">
      <c r="A6" s="16" t="s">
        <v>75</v>
      </c>
      <c r="B6" s="5" t="s">
        <v>283</v>
      </c>
      <c r="C6" s="5" t="s">
        <v>8</v>
      </c>
      <c r="D6" s="5" t="s">
        <v>280</v>
      </c>
      <c r="E6" s="6" t="n">
        <v>1</v>
      </c>
      <c r="F6" s="6" t="n">
        <v>1</v>
      </c>
      <c r="G6" s="5" t="s">
        <v>284</v>
      </c>
      <c r="H6" s="6" t="n">
        <v>1</v>
      </c>
      <c r="I6" s="5" t="s">
        <v>285</v>
      </c>
      <c r="J6" s="5" t="s">
        <v>286</v>
      </c>
      <c r="K6" s="24" t="s">
        <v>282</v>
      </c>
      <c r="L6" s="25"/>
      <c r="M6" s="25"/>
      <c r="N6" s="25"/>
      <c r="O6" s="24" t="s">
        <v>20</v>
      </c>
    </row>
    <row r="7" customFormat="false" ht="30.75" hidden="false" customHeight="true" outlineLevel="0" collapsed="false">
      <c r="A7" s="16" t="s">
        <v>79</v>
      </c>
      <c r="B7" s="5" t="s">
        <v>287</v>
      </c>
      <c r="C7" s="5" t="s">
        <v>8</v>
      </c>
      <c r="D7" s="5" t="s">
        <v>280</v>
      </c>
      <c r="E7" s="6" t="n">
        <v>1</v>
      </c>
      <c r="F7" s="6" t="n">
        <v>1</v>
      </c>
      <c r="G7" s="5" t="s">
        <v>288</v>
      </c>
      <c r="H7" s="6" t="n">
        <v>1</v>
      </c>
      <c r="I7" s="5" t="s">
        <v>289</v>
      </c>
      <c r="J7" s="5" t="s">
        <v>290</v>
      </c>
      <c r="K7" s="24" t="s">
        <v>282</v>
      </c>
      <c r="L7" s="25"/>
      <c r="M7" s="25"/>
      <c r="N7" s="25"/>
      <c r="O7" s="24" t="s">
        <v>20</v>
      </c>
    </row>
    <row r="8" customFormat="false" ht="30.75" hidden="false" customHeight="true" outlineLevel="0" collapsed="false">
      <c r="A8" s="16" t="s">
        <v>82</v>
      </c>
      <c r="B8" s="5" t="s">
        <v>291</v>
      </c>
      <c r="C8" s="5" t="s">
        <v>8</v>
      </c>
      <c r="D8" s="5" t="s">
        <v>280</v>
      </c>
      <c r="E8" s="6" t="n">
        <v>1</v>
      </c>
      <c r="F8" s="6" t="n">
        <v>1</v>
      </c>
      <c r="G8" s="5" t="s">
        <v>292</v>
      </c>
      <c r="H8" s="6" t="n">
        <v>2</v>
      </c>
      <c r="I8" s="5" t="s">
        <v>293</v>
      </c>
      <c r="J8" s="5" t="s">
        <v>294</v>
      </c>
      <c r="K8" s="24" t="s">
        <v>282</v>
      </c>
      <c r="L8" s="25"/>
      <c r="M8" s="25"/>
      <c r="N8" s="25"/>
      <c r="O8" s="24" t="s">
        <v>20</v>
      </c>
    </row>
    <row r="9" customFormat="false" ht="30.75" hidden="false" customHeight="true" outlineLevel="0" collapsed="false">
      <c r="A9" s="16" t="s">
        <v>86</v>
      </c>
      <c r="B9" s="5" t="s">
        <v>84</v>
      </c>
      <c r="C9" s="5" t="s">
        <v>8</v>
      </c>
      <c r="D9" s="5" t="s">
        <v>280</v>
      </c>
      <c r="E9" s="6" t="n">
        <v>1</v>
      </c>
      <c r="F9" s="6" t="n">
        <v>1</v>
      </c>
      <c r="G9" s="5" t="s">
        <v>295</v>
      </c>
      <c r="H9" s="6" t="n">
        <v>2</v>
      </c>
      <c r="I9" s="5" t="s">
        <v>296</v>
      </c>
      <c r="J9" s="5" t="s">
        <v>297</v>
      </c>
      <c r="K9" s="24" t="s">
        <v>282</v>
      </c>
      <c r="L9" s="25"/>
      <c r="M9" s="25"/>
      <c r="N9" s="25"/>
      <c r="O9" s="24" t="s">
        <v>20</v>
      </c>
    </row>
    <row r="10" customFormat="false" ht="18" hidden="false" customHeight="true" outlineLevel="0" collapsed="false">
      <c r="A10" s="16" t="s">
        <v>260</v>
      </c>
      <c r="B10" s="5" t="s">
        <v>298</v>
      </c>
      <c r="C10" s="5" t="s">
        <v>7</v>
      </c>
      <c r="D10" s="5" t="s">
        <v>299</v>
      </c>
      <c r="E10" s="6" t="n">
        <v>1</v>
      </c>
      <c r="F10" s="6" t="n">
        <v>1</v>
      </c>
      <c r="G10" s="5" t="s">
        <v>300</v>
      </c>
      <c r="H10" s="6" t="n">
        <v>1</v>
      </c>
      <c r="I10" s="5" t="s">
        <v>89</v>
      </c>
      <c r="J10" s="5" t="s">
        <v>142</v>
      </c>
      <c r="K10" s="24" t="s">
        <v>282</v>
      </c>
      <c r="L10" s="25"/>
      <c r="M10" s="25"/>
      <c r="N10" s="25"/>
      <c r="O10" s="24" t="s">
        <v>20</v>
      </c>
    </row>
    <row r="11" customFormat="false" ht="18" hidden="false" customHeight="true" outlineLevel="0" collapsed="false">
      <c r="A11" s="16" t="s">
        <v>301</v>
      </c>
      <c r="B11" s="5" t="s">
        <v>302</v>
      </c>
      <c r="C11" s="5" t="s">
        <v>12</v>
      </c>
      <c r="D11" s="5" t="s">
        <v>299</v>
      </c>
      <c r="E11" s="6" t="n">
        <v>1</v>
      </c>
      <c r="F11" s="6" t="n">
        <v>1</v>
      </c>
      <c r="G11" s="5" t="s">
        <v>281</v>
      </c>
      <c r="H11" s="6" t="n">
        <v>0</v>
      </c>
      <c r="I11" s="5" t="s">
        <v>89</v>
      </c>
      <c r="J11" s="5" t="s">
        <v>303</v>
      </c>
      <c r="K11" s="24" t="s">
        <v>282</v>
      </c>
      <c r="L11" s="25"/>
      <c r="M11" s="25"/>
      <c r="N11" s="25"/>
      <c r="O11" s="24" t="s">
        <v>20</v>
      </c>
    </row>
    <row r="12" customFormat="false" ht="18" hidden="false" customHeight="true" outlineLevel="0" collapsed="false">
      <c r="A12" s="16" t="s">
        <v>304</v>
      </c>
      <c r="B12" s="5" t="s">
        <v>305</v>
      </c>
      <c r="C12" s="5" t="s">
        <v>13</v>
      </c>
      <c r="D12" s="5" t="s">
        <v>299</v>
      </c>
      <c r="E12" s="6" t="n">
        <v>1</v>
      </c>
      <c r="F12" s="6" t="n">
        <v>1</v>
      </c>
      <c r="G12" s="5" t="s">
        <v>281</v>
      </c>
      <c r="H12" s="6" t="n">
        <v>0</v>
      </c>
      <c r="I12" s="5" t="s">
        <v>89</v>
      </c>
      <c r="J12" s="5" t="s">
        <v>306</v>
      </c>
      <c r="K12" s="24" t="s">
        <v>282</v>
      </c>
      <c r="L12" s="25"/>
      <c r="M12" s="25"/>
      <c r="N12" s="25"/>
      <c r="O12" s="24" t="s">
        <v>20</v>
      </c>
    </row>
    <row r="13" customFormat="false" ht="18" hidden="false" customHeight="true" outlineLevel="0" collapsed="false">
      <c r="A13" s="16" t="s">
        <v>307</v>
      </c>
      <c r="B13" s="5" t="s">
        <v>308</v>
      </c>
      <c r="C13" s="5" t="s">
        <v>13</v>
      </c>
      <c r="D13" s="5" t="s">
        <v>309</v>
      </c>
      <c r="E13" s="6" t="n">
        <v>1</v>
      </c>
      <c r="F13" s="6" t="n">
        <v>1</v>
      </c>
      <c r="G13" s="5" t="s">
        <v>281</v>
      </c>
      <c r="H13" s="6" t="n">
        <v>0</v>
      </c>
      <c r="I13" s="5" t="s">
        <v>89</v>
      </c>
      <c r="J13" s="5" t="s">
        <v>306</v>
      </c>
      <c r="K13" s="24" t="s">
        <v>282</v>
      </c>
      <c r="L13" s="25"/>
      <c r="M13" s="25"/>
      <c r="N13" s="25"/>
      <c r="O13" s="24" t="s">
        <v>20</v>
      </c>
    </row>
    <row r="14" customFormat="false" ht="18" hidden="false" customHeight="true" outlineLevel="0" collapsed="false">
      <c r="A14" s="16" t="s">
        <v>310</v>
      </c>
      <c r="B14" s="5" t="s">
        <v>311</v>
      </c>
      <c r="C14" s="5" t="s">
        <v>7</v>
      </c>
      <c r="D14" s="5" t="s">
        <v>312</v>
      </c>
      <c r="E14" s="6" t="n">
        <v>1</v>
      </c>
      <c r="F14" s="6" t="n">
        <v>1</v>
      </c>
      <c r="G14" s="5" t="s">
        <v>281</v>
      </c>
      <c r="H14" s="6" t="n">
        <v>0</v>
      </c>
      <c r="I14" s="5" t="s">
        <v>89</v>
      </c>
      <c r="J14" s="5" t="s">
        <v>142</v>
      </c>
      <c r="K14" s="24" t="s">
        <v>282</v>
      </c>
      <c r="L14" s="25"/>
      <c r="M14" s="25"/>
      <c r="N14" s="25"/>
      <c r="O14" s="24" t="s">
        <v>20</v>
      </c>
    </row>
    <row r="15" customFormat="false" ht="18" hidden="false" customHeight="true" outlineLevel="0" collapsed="false">
      <c r="A15" s="16" t="s">
        <v>313</v>
      </c>
      <c r="B15" s="5" t="s">
        <v>314</v>
      </c>
      <c r="C15" s="5" t="s">
        <v>7</v>
      </c>
      <c r="D15" s="5" t="s">
        <v>315</v>
      </c>
      <c r="E15" s="6" t="n">
        <v>1</v>
      </c>
      <c r="F15" s="6" t="n">
        <v>1</v>
      </c>
      <c r="G15" s="5" t="s">
        <v>281</v>
      </c>
      <c r="H15" s="6" t="n">
        <v>0</v>
      </c>
      <c r="I15" s="5" t="s">
        <v>89</v>
      </c>
      <c r="J15" s="5" t="s">
        <v>142</v>
      </c>
      <c r="K15" s="24" t="s">
        <v>282</v>
      </c>
      <c r="L15" s="25"/>
      <c r="M15" s="25"/>
      <c r="N15" s="25"/>
      <c r="O15" s="24" t="s">
        <v>20</v>
      </c>
    </row>
    <row r="16" customFormat="false" ht="18" hidden="false" customHeight="true" outlineLevel="0" collapsed="false">
      <c r="A16" s="16" t="s">
        <v>316</v>
      </c>
      <c r="B16" s="5" t="s">
        <v>317</v>
      </c>
      <c r="C16" s="5" t="s">
        <v>7</v>
      </c>
      <c r="D16" s="5" t="s">
        <v>318</v>
      </c>
      <c r="E16" s="6" t="n">
        <v>1</v>
      </c>
      <c r="F16" s="6" t="n">
        <v>1</v>
      </c>
      <c r="G16" s="5" t="s">
        <v>281</v>
      </c>
      <c r="H16" s="6" t="n">
        <v>0</v>
      </c>
      <c r="I16" s="5" t="s">
        <v>89</v>
      </c>
      <c r="J16" s="5" t="s">
        <v>142</v>
      </c>
      <c r="K16" s="24" t="s">
        <v>282</v>
      </c>
      <c r="L16" s="25"/>
      <c r="M16" s="25"/>
      <c r="N16" s="25"/>
      <c r="O16" s="24" t="s">
        <v>20</v>
      </c>
    </row>
    <row r="17" customFormat="false" ht="18" hidden="false" customHeight="true" outlineLevel="0" collapsed="false">
      <c r="A17" s="16" t="s">
        <v>319</v>
      </c>
      <c r="B17" s="5" t="s">
        <v>320</v>
      </c>
      <c r="C17" s="5" t="s">
        <v>7</v>
      </c>
      <c r="D17" s="5" t="s">
        <v>321</v>
      </c>
      <c r="E17" s="6" t="n">
        <v>1</v>
      </c>
      <c r="F17" s="6" t="n">
        <v>1</v>
      </c>
      <c r="G17" s="5" t="s">
        <v>281</v>
      </c>
      <c r="H17" s="6" t="n">
        <v>0</v>
      </c>
      <c r="I17" s="5" t="s">
        <v>89</v>
      </c>
      <c r="J17" s="5" t="s">
        <v>142</v>
      </c>
      <c r="K17" s="24" t="s">
        <v>282</v>
      </c>
      <c r="L17" s="25"/>
      <c r="M17" s="25"/>
      <c r="N17" s="25"/>
      <c r="O17" s="24" t="s">
        <v>20</v>
      </c>
    </row>
    <row r="18" customFormat="false" ht="18" hidden="false" customHeight="true" outlineLevel="0" collapsed="false">
      <c r="A18" s="16" t="s">
        <v>322</v>
      </c>
      <c r="B18" s="5" t="s">
        <v>323</v>
      </c>
      <c r="C18" s="5" t="s">
        <v>7</v>
      </c>
      <c r="D18" s="5" t="s">
        <v>324</v>
      </c>
      <c r="E18" s="6" t="n">
        <v>1</v>
      </c>
      <c r="F18" s="6" t="n">
        <v>1</v>
      </c>
      <c r="G18" s="5" t="s">
        <v>281</v>
      </c>
      <c r="H18" s="6" t="n">
        <v>0</v>
      </c>
      <c r="I18" s="5" t="s">
        <v>89</v>
      </c>
      <c r="J18" s="5" t="s">
        <v>142</v>
      </c>
      <c r="K18" s="24" t="s">
        <v>282</v>
      </c>
      <c r="L18" s="25"/>
      <c r="M18" s="25"/>
      <c r="N18" s="25"/>
      <c r="O18" s="24" t="s">
        <v>20</v>
      </c>
    </row>
    <row r="19" customFormat="false" ht="30.75" hidden="false" customHeight="true" outlineLevel="0" collapsed="false">
      <c r="A19" s="16" t="s">
        <v>98</v>
      </c>
      <c r="B19" s="5" t="s">
        <v>325</v>
      </c>
      <c r="C19" s="5" t="s">
        <v>8</v>
      </c>
      <c r="D19" s="5" t="s">
        <v>280</v>
      </c>
      <c r="E19" s="6" t="n">
        <v>2</v>
      </c>
      <c r="F19" s="6" t="n">
        <v>1</v>
      </c>
      <c r="G19" s="5" t="s">
        <v>326</v>
      </c>
      <c r="H19" s="6" t="n">
        <v>1</v>
      </c>
      <c r="I19" s="5" t="s">
        <v>327</v>
      </c>
      <c r="J19" s="5" t="s">
        <v>328</v>
      </c>
      <c r="K19" s="24" t="s">
        <v>282</v>
      </c>
      <c r="L19" s="25"/>
      <c r="M19" s="25"/>
      <c r="N19" s="25"/>
      <c r="O19" s="24" t="s">
        <v>20</v>
      </c>
    </row>
    <row r="20" customFormat="false" ht="18" hidden="false" customHeight="true" outlineLevel="0" collapsed="false">
      <c r="A20" s="16" t="s">
        <v>329</v>
      </c>
      <c r="B20" s="5" t="s">
        <v>330</v>
      </c>
      <c r="C20" s="5" t="s">
        <v>8</v>
      </c>
      <c r="D20" s="5" t="s">
        <v>280</v>
      </c>
      <c r="E20" s="6" t="n">
        <v>2</v>
      </c>
      <c r="F20" s="6" t="n">
        <v>1</v>
      </c>
      <c r="G20" s="5" t="s">
        <v>331</v>
      </c>
      <c r="H20" s="6" t="n">
        <v>1</v>
      </c>
      <c r="I20" s="5" t="s">
        <v>332</v>
      </c>
      <c r="J20" s="5" t="s">
        <v>333</v>
      </c>
      <c r="K20" s="24" t="s">
        <v>282</v>
      </c>
      <c r="L20" s="25"/>
      <c r="M20" s="25"/>
      <c r="N20" s="25"/>
      <c r="O20" s="24" t="s">
        <v>20</v>
      </c>
    </row>
    <row r="21" customFormat="false" ht="30.75" hidden="false" customHeight="true" outlineLevel="0" collapsed="false">
      <c r="A21" s="16" t="s">
        <v>111</v>
      </c>
      <c r="B21" s="5" t="s">
        <v>334</v>
      </c>
      <c r="C21" s="5" t="s">
        <v>9</v>
      </c>
      <c r="D21" s="5" t="s">
        <v>312</v>
      </c>
      <c r="E21" s="6" t="n">
        <v>2</v>
      </c>
      <c r="F21" s="6" t="n">
        <v>1</v>
      </c>
      <c r="G21" s="5" t="s">
        <v>335</v>
      </c>
      <c r="H21" s="6" t="n">
        <v>2</v>
      </c>
      <c r="I21" s="5" t="s">
        <v>336</v>
      </c>
      <c r="J21" s="5" t="s">
        <v>337</v>
      </c>
      <c r="K21" s="24" t="s">
        <v>282</v>
      </c>
      <c r="L21" s="25"/>
      <c r="M21" s="25"/>
      <c r="N21" s="25"/>
      <c r="O21" s="24" t="s">
        <v>20</v>
      </c>
    </row>
    <row r="22" customFormat="false" ht="43.5" hidden="false" customHeight="true" outlineLevel="0" collapsed="false">
      <c r="A22" s="16" t="s">
        <v>338</v>
      </c>
      <c r="B22" s="5" t="s">
        <v>339</v>
      </c>
      <c r="C22" s="5" t="s">
        <v>9</v>
      </c>
      <c r="D22" s="5" t="s">
        <v>315</v>
      </c>
      <c r="E22" s="6" t="n">
        <v>2</v>
      </c>
      <c r="F22" s="6" t="n">
        <v>1</v>
      </c>
      <c r="G22" s="5" t="s">
        <v>340</v>
      </c>
      <c r="H22" s="6" t="n">
        <v>3</v>
      </c>
      <c r="I22" s="5" t="s">
        <v>341</v>
      </c>
      <c r="J22" s="5" t="s">
        <v>342</v>
      </c>
      <c r="K22" s="24" t="s">
        <v>282</v>
      </c>
      <c r="L22" s="25"/>
      <c r="M22" s="25"/>
      <c r="N22" s="25"/>
      <c r="O22" s="24" t="s">
        <v>20</v>
      </c>
    </row>
    <row r="23" customFormat="false" ht="43.5" hidden="false" customHeight="true" outlineLevel="0" collapsed="false">
      <c r="A23" s="16" t="s">
        <v>343</v>
      </c>
      <c r="B23" s="5" t="s">
        <v>344</v>
      </c>
      <c r="C23" s="5" t="s">
        <v>11</v>
      </c>
      <c r="D23" s="5" t="s">
        <v>315</v>
      </c>
      <c r="E23" s="6" t="n">
        <v>2</v>
      </c>
      <c r="F23" s="6" t="n">
        <v>1</v>
      </c>
      <c r="G23" s="5" t="s">
        <v>345</v>
      </c>
      <c r="H23" s="6" t="n">
        <v>3</v>
      </c>
      <c r="I23" s="5" t="s">
        <v>341</v>
      </c>
      <c r="J23" s="5" t="s">
        <v>342</v>
      </c>
      <c r="K23" s="24" t="s">
        <v>282</v>
      </c>
      <c r="L23" s="25"/>
      <c r="M23" s="25"/>
      <c r="N23" s="25"/>
      <c r="O23" s="24" t="s">
        <v>20</v>
      </c>
    </row>
    <row r="24" customFormat="false" ht="18" hidden="false" customHeight="true" outlineLevel="0" collapsed="false">
      <c r="A24" s="16" t="s">
        <v>346</v>
      </c>
      <c r="B24" s="5" t="s">
        <v>347</v>
      </c>
      <c r="C24" s="5" t="s">
        <v>9</v>
      </c>
      <c r="D24" s="5" t="s">
        <v>315</v>
      </c>
      <c r="E24" s="6" t="n">
        <v>2</v>
      </c>
      <c r="F24" s="6" t="n">
        <v>1</v>
      </c>
      <c r="G24" s="5" t="s">
        <v>348</v>
      </c>
      <c r="H24" s="6" t="n">
        <v>1</v>
      </c>
      <c r="I24" s="5" t="s">
        <v>349</v>
      </c>
      <c r="J24" s="5" t="s">
        <v>342</v>
      </c>
      <c r="K24" s="24" t="s">
        <v>282</v>
      </c>
      <c r="L24" s="25"/>
      <c r="M24" s="25"/>
      <c r="N24" s="25"/>
      <c r="O24" s="24" t="s">
        <v>20</v>
      </c>
    </row>
    <row r="25" customFormat="false" ht="43.5" hidden="false" customHeight="true" outlineLevel="0" collapsed="false">
      <c r="A25" s="16" t="s">
        <v>350</v>
      </c>
      <c r="B25" s="5" t="s">
        <v>351</v>
      </c>
      <c r="C25" s="5" t="s">
        <v>10</v>
      </c>
      <c r="D25" s="5" t="s">
        <v>324</v>
      </c>
      <c r="E25" s="6" t="n">
        <v>2</v>
      </c>
      <c r="F25" s="6" t="n">
        <v>1</v>
      </c>
      <c r="G25" s="5" t="s">
        <v>352</v>
      </c>
      <c r="H25" s="6" t="n">
        <v>3</v>
      </c>
      <c r="I25" s="5" t="s">
        <v>332</v>
      </c>
      <c r="J25" s="5" t="s">
        <v>353</v>
      </c>
      <c r="K25" s="24" t="s">
        <v>282</v>
      </c>
      <c r="L25" s="25"/>
      <c r="M25" s="25"/>
      <c r="N25" s="25"/>
      <c r="O25" s="24" t="s">
        <v>20</v>
      </c>
    </row>
    <row r="26" customFormat="false" ht="57" hidden="false" customHeight="true" outlineLevel="0" collapsed="false">
      <c r="A26" s="16" t="s">
        <v>354</v>
      </c>
      <c r="B26" s="5" t="s">
        <v>355</v>
      </c>
      <c r="C26" s="5" t="s">
        <v>12</v>
      </c>
      <c r="D26" s="5" t="s">
        <v>299</v>
      </c>
      <c r="E26" s="6" t="n">
        <v>3</v>
      </c>
      <c r="F26" s="6" t="n">
        <v>1</v>
      </c>
      <c r="G26" s="5" t="s">
        <v>356</v>
      </c>
      <c r="H26" s="6" t="n">
        <v>3</v>
      </c>
      <c r="I26" s="5" t="s">
        <v>357</v>
      </c>
      <c r="J26" s="5" t="s">
        <v>358</v>
      </c>
      <c r="K26" s="24" t="s">
        <v>282</v>
      </c>
      <c r="L26" s="25"/>
      <c r="M26" s="25"/>
      <c r="N26" s="25"/>
      <c r="O26" s="24" t="s">
        <v>20</v>
      </c>
    </row>
    <row r="27" customFormat="false" ht="30.75" hidden="false" customHeight="true" outlineLevel="0" collapsed="false">
      <c r="A27" s="16" t="s">
        <v>359</v>
      </c>
      <c r="B27" s="5" t="s">
        <v>360</v>
      </c>
      <c r="C27" s="5" t="s">
        <v>10</v>
      </c>
      <c r="D27" s="5" t="s">
        <v>324</v>
      </c>
      <c r="E27" s="6" t="n">
        <v>3</v>
      </c>
      <c r="F27" s="6" t="n">
        <v>1</v>
      </c>
      <c r="G27" s="5" t="s">
        <v>361</v>
      </c>
      <c r="H27" s="6" t="n">
        <v>1</v>
      </c>
      <c r="I27" s="5" t="s">
        <v>362</v>
      </c>
      <c r="J27" s="5" t="s">
        <v>342</v>
      </c>
      <c r="K27" s="24" t="s">
        <v>282</v>
      </c>
      <c r="L27" s="25"/>
      <c r="M27" s="25"/>
      <c r="N27" s="25"/>
      <c r="O27" s="24" t="s">
        <v>20</v>
      </c>
    </row>
    <row r="28" customFormat="false" ht="57" hidden="false" customHeight="true" outlineLevel="0" collapsed="false">
      <c r="A28" s="16" t="s">
        <v>120</v>
      </c>
      <c r="B28" s="5" t="s">
        <v>363</v>
      </c>
      <c r="C28" s="5" t="s">
        <v>12</v>
      </c>
      <c r="D28" s="5" t="s">
        <v>324</v>
      </c>
      <c r="E28" s="6" t="n">
        <v>3</v>
      </c>
      <c r="F28" s="6" t="n">
        <v>1</v>
      </c>
      <c r="G28" s="5" t="s">
        <v>364</v>
      </c>
      <c r="H28" s="6" t="n">
        <v>3</v>
      </c>
      <c r="I28" s="5" t="s">
        <v>362</v>
      </c>
      <c r="J28" s="5" t="s">
        <v>342</v>
      </c>
      <c r="K28" s="24" t="s">
        <v>282</v>
      </c>
      <c r="L28" s="25"/>
      <c r="M28" s="25"/>
      <c r="N28" s="25"/>
      <c r="O28" s="24" t="s">
        <v>20</v>
      </c>
    </row>
    <row r="29" customFormat="false" ht="43.5" hidden="false" customHeight="true" outlineLevel="0" collapsed="false">
      <c r="A29" s="16" t="s">
        <v>365</v>
      </c>
      <c r="B29" s="5" t="s">
        <v>366</v>
      </c>
      <c r="C29" s="5" t="s">
        <v>10</v>
      </c>
      <c r="D29" s="5" t="s">
        <v>324</v>
      </c>
      <c r="E29" s="6" t="n">
        <v>3</v>
      </c>
      <c r="F29" s="6" t="n">
        <v>1</v>
      </c>
      <c r="G29" s="5" t="s">
        <v>367</v>
      </c>
      <c r="H29" s="6" t="n">
        <v>2</v>
      </c>
      <c r="I29" s="5" t="s">
        <v>368</v>
      </c>
      <c r="J29" s="5" t="s">
        <v>369</v>
      </c>
      <c r="K29" s="24" t="s">
        <v>282</v>
      </c>
      <c r="L29" s="25"/>
      <c r="M29" s="25"/>
      <c r="N29" s="25"/>
      <c r="O29" s="24" t="s">
        <v>20</v>
      </c>
    </row>
    <row r="30" customFormat="false" ht="43.5" hidden="false" customHeight="true" outlineLevel="0" collapsed="false">
      <c r="A30" s="16" t="s">
        <v>370</v>
      </c>
      <c r="B30" s="5" t="s">
        <v>371</v>
      </c>
      <c r="C30" s="5" t="s">
        <v>10</v>
      </c>
      <c r="D30" s="5" t="s">
        <v>324</v>
      </c>
      <c r="E30" s="6" t="n">
        <v>3</v>
      </c>
      <c r="F30" s="6" t="n">
        <v>1</v>
      </c>
      <c r="G30" s="5" t="s">
        <v>372</v>
      </c>
      <c r="H30" s="6" t="n">
        <v>2</v>
      </c>
      <c r="I30" s="5" t="s">
        <v>373</v>
      </c>
      <c r="J30" s="5" t="s">
        <v>374</v>
      </c>
      <c r="K30" s="24" t="s">
        <v>282</v>
      </c>
      <c r="L30" s="25"/>
      <c r="M30" s="25"/>
      <c r="N30" s="25"/>
      <c r="O30" s="24" t="s">
        <v>20</v>
      </c>
    </row>
    <row r="31" customFormat="false" ht="30.75" hidden="false" customHeight="true" outlineLevel="0" collapsed="false">
      <c r="A31" s="16" t="s">
        <v>375</v>
      </c>
      <c r="B31" s="5" t="s">
        <v>376</v>
      </c>
      <c r="C31" s="5" t="s">
        <v>10</v>
      </c>
      <c r="D31" s="5" t="s">
        <v>324</v>
      </c>
      <c r="E31" s="6" t="n">
        <v>3</v>
      </c>
      <c r="F31" s="6" t="n">
        <v>1</v>
      </c>
      <c r="G31" s="5" t="s">
        <v>377</v>
      </c>
      <c r="H31" s="6" t="n">
        <v>1</v>
      </c>
      <c r="I31" s="5" t="s">
        <v>373</v>
      </c>
      <c r="J31" s="5" t="s">
        <v>342</v>
      </c>
      <c r="K31" s="24" t="s">
        <v>282</v>
      </c>
      <c r="L31" s="25"/>
      <c r="M31" s="25"/>
      <c r="N31" s="25"/>
      <c r="O31" s="24" t="s">
        <v>20</v>
      </c>
    </row>
    <row r="32" customFormat="false" ht="30.75" hidden="false" customHeight="true" outlineLevel="0" collapsed="false">
      <c r="A32" s="16" t="s">
        <v>378</v>
      </c>
      <c r="B32" s="5" t="s">
        <v>379</v>
      </c>
      <c r="C32" s="5" t="s">
        <v>10</v>
      </c>
      <c r="D32" s="5" t="s">
        <v>324</v>
      </c>
      <c r="E32" s="6" t="n">
        <v>3</v>
      </c>
      <c r="F32" s="6" t="n">
        <v>1</v>
      </c>
      <c r="G32" s="5" t="s">
        <v>377</v>
      </c>
      <c r="H32" s="6" t="n">
        <v>1</v>
      </c>
      <c r="I32" s="5" t="s">
        <v>373</v>
      </c>
      <c r="J32" s="5" t="s">
        <v>342</v>
      </c>
      <c r="K32" s="24" t="s">
        <v>282</v>
      </c>
      <c r="L32" s="25"/>
      <c r="M32" s="25"/>
      <c r="N32" s="25"/>
      <c r="O32" s="24" t="s">
        <v>20</v>
      </c>
    </row>
    <row r="33" customFormat="false" ht="30.75" hidden="false" customHeight="true" outlineLevel="0" collapsed="false">
      <c r="A33" s="16" t="s">
        <v>145</v>
      </c>
      <c r="B33" s="5" t="s">
        <v>143</v>
      </c>
      <c r="C33" s="5" t="s">
        <v>8</v>
      </c>
      <c r="D33" s="5" t="s">
        <v>280</v>
      </c>
      <c r="E33" s="6" t="n">
        <v>4</v>
      </c>
      <c r="F33" s="6" t="n">
        <v>1</v>
      </c>
      <c r="G33" s="5" t="s">
        <v>380</v>
      </c>
      <c r="H33" s="6" t="n">
        <v>2</v>
      </c>
      <c r="I33" s="5" t="s">
        <v>381</v>
      </c>
      <c r="J33" s="5" t="s">
        <v>382</v>
      </c>
      <c r="K33" s="24" t="s">
        <v>282</v>
      </c>
      <c r="L33" s="25"/>
      <c r="M33" s="25"/>
      <c r="N33" s="25"/>
      <c r="O33" s="24" t="s">
        <v>20</v>
      </c>
    </row>
    <row r="34" customFormat="false" ht="30.75" hidden="false" customHeight="true" outlineLevel="0" collapsed="false">
      <c r="A34" s="16" t="s">
        <v>383</v>
      </c>
      <c r="B34" s="5" t="s">
        <v>384</v>
      </c>
      <c r="C34" s="5" t="s">
        <v>9</v>
      </c>
      <c r="D34" s="5" t="s">
        <v>280</v>
      </c>
      <c r="E34" s="6" t="n">
        <v>4</v>
      </c>
      <c r="F34" s="6" t="n">
        <v>1</v>
      </c>
      <c r="G34" s="5" t="s">
        <v>385</v>
      </c>
      <c r="H34" s="6" t="n">
        <v>1</v>
      </c>
      <c r="I34" s="5" t="s">
        <v>349</v>
      </c>
      <c r="J34" s="5" t="s">
        <v>386</v>
      </c>
      <c r="K34" s="24" t="s">
        <v>282</v>
      </c>
      <c r="L34" s="25"/>
      <c r="M34" s="25"/>
      <c r="N34" s="25"/>
      <c r="O34" s="24" t="s">
        <v>20</v>
      </c>
    </row>
    <row r="35" customFormat="false" ht="18" hidden="false" customHeight="true" outlineLevel="0" collapsed="false">
      <c r="A35" s="16" t="s">
        <v>139</v>
      </c>
      <c r="B35" s="5" t="s">
        <v>387</v>
      </c>
      <c r="C35" s="5" t="s">
        <v>12</v>
      </c>
      <c r="D35" s="5" t="s">
        <v>324</v>
      </c>
      <c r="E35" s="6" t="n">
        <v>4</v>
      </c>
      <c r="F35" s="6" t="n">
        <v>1</v>
      </c>
      <c r="G35" s="5" t="s">
        <v>388</v>
      </c>
      <c r="H35" s="6" t="n">
        <v>1</v>
      </c>
      <c r="I35" s="5" t="s">
        <v>349</v>
      </c>
      <c r="J35" s="5" t="s">
        <v>389</v>
      </c>
      <c r="K35" s="24" t="s">
        <v>282</v>
      </c>
      <c r="L35" s="25"/>
      <c r="M35" s="25"/>
      <c r="N35" s="25"/>
      <c r="O35" s="24" t="s">
        <v>20</v>
      </c>
    </row>
    <row r="36" customFormat="false" ht="43.5" hidden="false" customHeight="true" outlineLevel="0" collapsed="false">
      <c r="A36" s="16" t="s">
        <v>390</v>
      </c>
      <c r="B36" s="5" t="s">
        <v>391</v>
      </c>
      <c r="C36" s="5" t="s">
        <v>10</v>
      </c>
      <c r="D36" s="5" t="s">
        <v>324</v>
      </c>
      <c r="E36" s="6" t="n">
        <v>4</v>
      </c>
      <c r="F36" s="6" t="n">
        <v>1</v>
      </c>
      <c r="G36" s="5" t="s">
        <v>392</v>
      </c>
      <c r="H36" s="6" t="n">
        <v>2</v>
      </c>
      <c r="I36" s="5" t="s">
        <v>393</v>
      </c>
      <c r="J36" s="5" t="s">
        <v>389</v>
      </c>
      <c r="K36" s="24" t="s">
        <v>282</v>
      </c>
      <c r="L36" s="25"/>
      <c r="M36" s="25"/>
      <c r="N36" s="25"/>
      <c r="O36" s="24" t="s">
        <v>20</v>
      </c>
    </row>
    <row r="37" customFormat="false" ht="30.75" hidden="false" customHeight="true" outlineLevel="0" collapsed="false">
      <c r="A37" s="16" t="s">
        <v>394</v>
      </c>
      <c r="B37" s="5" t="s">
        <v>395</v>
      </c>
      <c r="C37" s="5" t="s">
        <v>10</v>
      </c>
      <c r="D37" s="5" t="s">
        <v>324</v>
      </c>
      <c r="E37" s="6" t="n">
        <v>4</v>
      </c>
      <c r="F37" s="6" t="n">
        <v>1</v>
      </c>
      <c r="G37" s="5" t="s">
        <v>396</v>
      </c>
      <c r="H37" s="6" t="n">
        <v>1</v>
      </c>
      <c r="I37" s="5" t="s">
        <v>397</v>
      </c>
      <c r="J37" s="5" t="s">
        <v>389</v>
      </c>
      <c r="K37" s="24" t="s">
        <v>282</v>
      </c>
      <c r="L37" s="25"/>
      <c r="M37" s="25"/>
      <c r="N37" s="25"/>
      <c r="O37" s="24" t="s">
        <v>20</v>
      </c>
    </row>
    <row r="38" customFormat="false" ht="30.75" hidden="false" customHeight="true" outlineLevel="0" collapsed="false">
      <c r="A38" s="16" t="s">
        <v>398</v>
      </c>
      <c r="B38" s="5" t="s">
        <v>399</v>
      </c>
      <c r="C38" s="5" t="s">
        <v>10</v>
      </c>
      <c r="D38" s="5" t="s">
        <v>324</v>
      </c>
      <c r="E38" s="6" t="n">
        <v>4</v>
      </c>
      <c r="F38" s="6" t="n">
        <v>1</v>
      </c>
      <c r="G38" s="5" t="s">
        <v>400</v>
      </c>
      <c r="H38" s="6" t="n">
        <v>1</v>
      </c>
      <c r="I38" s="5" t="s">
        <v>401</v>
      </c>
      <c r="J38" s="5" t="s">
        <v>342</v>
      </c>
      <c r="K38" s="24" t="s">
        <v>282</v>
      </c>
      <c r="L38" s="25"/>
      <c r="M38" s="25"/>
      <c r="N38" s="25"/>
      <c r="O38" s="24" t="s">
        <v>20</v>
      </c>
    </row>
    <row r="39" customFormat="false" ht="30.75" hidden="false" customHeight="true" outlineLevel="0" collapsed="false">
      <c r="A39" s="16" t="s">
        <v>402</v>
      </c>
      <c r="B39" s="5" t="s">
        <v>403</v>
      </c>
      <c r="C39" s="5" t="s">
        <v>10</v>
      </c>
      <c r="D39" s="5" t="s">
        <v>324</v>
      </c>
      <c r="E39" s="6" t="n">
        <v>4</v>
      </c>
      <c r="F39" s="6" t="n">
        <v>1</v>
      </c>
      <c r="G39" s="5" t="s">
        <v>400</v>
      </c>
      <c r="H39" s="6" t="n">
        <v>1</v>
      </c>
      <c r="I39" s="5" t="s">
        <v>401</v>
      </c>
      <c r="J39" s="5" t="s">
        <v>342</v>
      </c>
      <c r="K39" s="24" t="s">
        <v>282</v>
      </c>
      <c r="L39" s="25"/>
      <c r="M39" s="25"/>
      <c r="N39" s="25"/>
      <c r="O39" s="24" t="s">
        <v>20</v>
      </c>
    </row>
    <row r="40" customFormat="false" ht="18" hidden="false" customHeight="true" outlineLevel="0" collapsed="false">
      <c r="A40" s="16" t="s">
        <v>153</v>
      </c>
      <c r="B40" s="5" t="s">
        <v>404</v>
      </c>
      <c r="C40" s="5" t="s">
        <v>8</v>
      </c>
      <c r="D40" s="5" t="s">
        <v>280</v>
      </c>
      <c r="E40" s="6" t="n">
        <v>5</v>
      </c>
      <c r="F40" s="6" t="n">
        <v>1</v>
      </c>
      <c r="G40" s="5" t="s">
        <v>405</v>
      </c>
      <c r="H40" s="6" t="n">
        <v>1</v>
      </c>
      <c r="I40" s="5" t="s">
        <v>406</v>
      </c>
      <c r="J40" s="5" t="s">
        <v>407</v>
      </c>
      <c r="K40" s="24" t="s">
        <v>282</v>
      </c>
      <c r="L40" s="25"/>
      <c r="M40" s="25"/>
      <c r="N40" s="25"/>
      <c r="O40" s="24" t="s">
        <v>20</v>
      </c>
    </row>
    <row r="41" customFormat="false" ht="18" hidden="false" customHeight="true" outlineLevel="0" collapsed="false">
      <c r="A41" s="16" t="s">
        <v>161</v>
      </c>
      <c r="B41" s="5" t="s">
        <v>408</v>
      </c>
      <c r="C41" s="5" t="s">
        <v>8</v>
      </c>
      <c r="D41" s="5" t="s">
        <v>280</v>
      </c>
      <c r="E41" s="6" t="n">
        <v>5</v>
      </c>
      <c r="F41" s="6" t="n">
        <v>1</v>
      </c>
      <c r="G41" s="5" t="s">
        <v>409</v>
      </c>
      <c r="H41" s="6" t="n">
        <v>1</v>
      </c>
      <c r="I41" s="5" t="s">
        <v>410</v>
      </c>
      <c r="J41" s="5" t="s">
        <v>411</v>
      </c>
      <c r="K41" s="24" t="s">
        <v>282</v>
      </c>
      <c r="L41" s="25"/>
      <c r="M41" s="25"/>
      <c r="N41" s="25"/>
      <c r="O41" s="24" t="s">
        <v>20</v>
      </c>
    </row>
    <row r="42" customFormat="false" ht="18" hidden="false" customHeight="true" outlineLevel="0" collapsed="false">
      <c r="A42" s="16" t="s">
        <v>156</v>
      </c>
      <c r="B42" s="5" t="s">
        <v>412</v>
      </c>
      <c r="C42" s="5" t="s">
        <v>9</v>
      </c>
      <c r="D42" s="5" t="s">
        <v>312</v>
      </c>
      <c r="E42" s="6" t="n">
        <v>5</v>
      </c>
      <c r="F42" s="6" t="n">
        <v>1</v>
      </c>
      <c r="G42" s="5" t="s">
        <v>413</v>
      </c>
      <c r="H42" s="6" t="n">
        <v>1</v>
      </c>
      <c r="I42" s="5" t="s">
        <v>349</v>
      </c>
      <c r="J42" s="5" t="s">
        <v>407</v>
      </c>
      <c r="K42" s="24" t="s">
        <v>282</v>
      </c>
      <c r="L42" s="25"/>
      <c r="M42" s="25"/>
      <c r="N42" s="25"/>
      <c r="O42" s="24" t="s">
        <v>20</v>
      </c>
    </row>
    <row r="43" customFormat="false" ht="30.75" hidden="false" customHeight="true" outlineLevel="0" collapsed="false">
      <c r="A43" s="16" t="s">
        <v>164</v>
      </c>
      <c r="B43" s="5" t="s">
        <v>414</v>
      </c>
      <c r="C43" s="5" t="s">
        <v>9</v>
      </c>
      <c r="D43" s="5" t="s">
        <v>315</v>
      </c>
      <c r="E43" s="6" t="n">
        <v>5</v>
      </c>
      <c r="F43" s="6" t="n">
        <v>1</v>
      </c>
      <c r="G43" s="5" t="s">
        <v>415</v>
      </c>
      <c r="H43" s="6" t="n">
        <v>1</v>
      </c>
      <c r="I43" s="5" t="s">
        <v>349</v>
      </c>
      <c r="J43" s="5" t="s">
        <v>416</v>
      </c>
      <c r="K43" s="24" t="s">
        <v>282</v>
      </c>
      <c r="L43" s="25"/>
      <c r="M43" s="25"/>
      <c r="N43" s="25"/>
      <c r="O43" s="24" t="s">
        <v>20</v>
      </c>
    </row>
    <row r="44" customFormat="false" ht="30.75" hidden="false" customHeight="true" outlineLevel="0" collapsed="false">
      <c r="A44" s="16" t="s">
        <v>173</v>
      </c>
      <c r="B44" s="5" t="s">
        <v>417</v>
      </c>
      <c r="C44" s="5" t="s">
        <v>8</v>
      </c>
      <c r="D44" s="5" t="s">
        <v>280</v>
      </c>
      <c r="E44" s="6" t="n">
        <v>6</v>
      </c>
      <c r="F44" s="6" t="n">
        <v>2</v>
      </c>
      <c r="G44" s="5" t="s">
        <v>418</v>
      </c>
      <c r="H44" s="6" t="n">
        <v>1</v>
      </c>
      <c r="I44" s="5" t="s">
        <v>419</v>
      </c>
      <c r="J44" s="5" t="s">
        <v>420</v>
      </c>
      <c r="K44" s="24" t="s">
        <v>282</v>
      </c>
      <c r="L44" s="25"/>
      <c r="M44" s="25"/>
      <c r="N44" s="25"/>
      <c r="O44" s="24" t="s">
        <v>20</v>
      </c>
    </row>
    <row r="45" customFormat="false" ht="18" hidden="false" customHeight="true" outlineLevel="0" collapsed="false">
      <c r="A45" s="16" t="s">
        <v>177</v>
      </c>
      <c r="B45" s="5" t="s">
        <v>175</v>
      </c>
      <c r="C45" s="5" t="s">
        <v>8</v>
      </c>
      <c r="D45" s="5" t="s">
        <v>280</v>
      </c>
      <c r="E45" s="6" t="n">
        <v>6</v>
      </c>
      <c r="F45" s="6" t="n">
        <v>2</v>
      </c>
      <c r="G45" s="5" t="s">
        <v>421</v>
      </c>
      <c r="H45" s="6" t="n">
        <v>1</v>
      </c>
      <c r="I45" s="5" t="s">
        <v>422</v>
      </c>
      <c r="J45" s="5" t="s">
        <v>423</v>
      </c>
      <c r="K45" s="24" t="s">
        <v>282</v>
      </c>
      <c r="L45" s="25"/>
      <c r="M45" s="25"/>
      <c r="N45" s="25"/>
      <c r="O45" s="24" t="s">
        <v>20</v>
      </c>
    </row>
    <row r="46" customFormat="false" ht="30.75" hidden="false" customHeight="true" outlineLevel="0" collapsed="false">
      <c r="A46" s="16" t="s">
        <v>424</v>
      </c>
      <c r="B46" s="5" t="s">
        <v>425</v>
      </c>
      <c r="C46" s="5" t="s">
        <v>8</v>
      </c>
      <c r="D46" s="5" t="s">
        <v>315</v>
      </c>
      <c r="E46" s="6" t="n">
        <v>6</v>
      </c>
      <c r="F46" s="6" t="n">
        <v>2</v>
      </c>
      <c r="G46" s="5" t="s">
        <v>426</v>
      </c>
      <c r="H46" s="6" t="n">
        <v>1</v>
      </c>
      <c r="I46" s="5" t="s">
        <v>427</v>
      </c>
      <c r="J46" s="5" t="s">
        <v>428</v>
      </c>
      <c r="K46" s="24" t="s">
        <v>282</v>
      </c>
      <c r="L46" s="25"/>
      <c r="M46" s="25"/>
      <c r="N46" s="25"/>
      <c r="O46" s="24" t="s">
        <v>20</v>
      </c>
    </row>
    <row r="47" customFormat="false" ht="43.5" hidden="false" customHeight="true" outlineLevel="0" collapsed="false">
      <c r="A47" s="16" t="s">
        <v>429</v>
      </c>
      <c r="B47" s="5" t="s">
        <v>430</v>
      </c>
      <c r="C47" s="5" t="s">
        <v>11</v>
      </c>
      <c r="D47" s="5" t="s">
        <v>315</v>
      </c>
      <c r="E47" s="6" t="n">
        <v>6</v>
      </c>
      <c r="F47" s="6" t="n">
        <v>2</v>
      </c>
      <c r="G47" s="5" t="s">
        <v>431</v>
      </c>
      <c r="H47" s="6" t="n">
        <v>3</v>
      </c>
      <c r="I47" s="5" t="s">
        <v>427</v>
      </c>
      <c r="J47" s="5" t="s">
        <v>342</v>
      </c>
      <c r="K47" s="24" t="s">
        <v>282</v>
      </c>
      <c r="L47" s="25"/>
      <c r="M47" s="25"/>
      <c r="N47" s="25"/>
      <c r="O47" s="24" t="s">
        <v>20</v>
      </c>
    </row>
    <row r="48" customFormat="false" ht="30.75" hidden="false" customHeight="true" outlineLevel="0" collapsed="false">
      <c r="A48" s="16" t="s">
        <v>432</v>
      </c>
      <c r="B48" s="5" t="s">
        <v>433</v>
      </c>
      <c r="C48" s="5" t="s">
        <v>8</v>
      </c>
      <c r="D48" s="5" t="s">
        <v>280</v>
      </c>
      <c r="E48" s="6" t="n">
        <v>7</v>
      </c>
      <c r="F48" s="6" t="n">
        <v>2</v>
      </c>
      <c r="G48" s="5" t="s">
        <v>434</v>
      </c>
      <c r="H48" s="6" t="n">
        <v>2</v>
      </c>
      <c r="I48" s="5" t="s">
        <v>435</v>
      </c>
      <c r="J48" s="5" t="s">
        <v>436</v>
      </c>
      <c r="K48" s="24" t="s">
        <v>282</v>
      </c>
      <c r="L48" s="25"/>
      <c r="M48" s="25"/>
      <c r="N48" s="25"/>
      <c r="O48" s="24" t="s">
        <v>20</v>
      </c>
    </row>
    <row r="49" customFormat="false" ht="30.75" hidden="false" customHeight="true" outlineLevel="0" collapsed="false">
      <c r="A49" s="16" t="s">
        <v>247</v>
      </c>
      <c r="B49" s="5" t="s">
        <v>437</v>
      </c>
      <c r="C49" s="5" t="s">
        <v>9</v>
      </c>
      <c r="D49" s="5" t="s">
        <v>299</v>
      </c>
      <c r="E49" s="6" t="n">
        <v>7</v>
      </c>
      <c r="F49" s="6" t="n">
        <v>2</v>
      </c>
      <c r="G49" s="5" t="s">
        <v>438</v>
      </c>
      <c r="H49" s="6" t="n">
        <v>2</v>
      </c>
      <c r="I49" s="5" t="s">
        <v>439</v>
      </c>
      <c r="J49" s="5" t="s">
        <v>440</v>
      </c>
      <c r="K49" s="24" t="s">
        <v>282</v>
      </c>
      <c r="L49" s="25"/>
      <c r="M49" s="25"/>
      <c r="N49" s="25"/>
      <c r="O49" s="24" t="s">
        <v>20</v>
      </c>
    </row>
    <row r="50" customFormat="false" ht="69.75" hidden="false" customHeight="true" outlineLevel="0" collapsed="false">
      <c r="A50" s="16" t="s">
        <v>441</v>
      </c>
      <c r="B50" s="5" t="s">
        <v>442</v>
      </c>
      <c r="C50" s="5" t="s">
        <v>11</v>
      </c>
      <c r="D50" s="5" t="s">
        <v>315</v>
      </c>
      <c r="E50" s="6" t="n">
        <v>7</v>
      </c>
      <c r="F50" s="6" t="n">
        <v>2</v>
      </c>
      <c r="G50" s="5" t="s">
        <v>443</v>
      </c>
      <c r="H50" s="6" t="n">
        <v>5</v>
      </c>
      <c r="I50" s="5" t="s">
        <v>444</v>
      </c>
      <c r="J50" s="5" t="s">
        <v>445</v>
      </c>
      <c r="K50" s="24" t="s">
        <v>282</v>
      </c>
      <c r="L50" s="25"/>
      <c r="M50" s="25"/>
      <c r="N50" s="25"/>
      <c r="O50" s="24" t="s">
        <v>20</v>
      </c>
    </row>
    <row r="51" customFormat="false" ht="57" hidden="false" customHeight="true" outlineLevel="0" collapsed="false">
      <c r="A51" s="16" t="s">
        <v>446</v>
      </c>
      <c r="B51" s="5" t="s">
        <v>447</v>
      </c>
      <c r="C51" s="5" t="s">
        <v>9</v>
      </c>
      <c r="D51" s="5" t="s">
        <v>315</v>
      </c>
      <c r="E51" s="6" t="n">
        <v>7</v>
      </c>
      <c r="F51" s="6" t="n">
        <v>2</v>
      </c>
      <c r="G51" s="5" t="s">
        <v>448</v>
      </c>
      <c r="H51" s="6" t="n">
        <v>4</v>
      </c>
      <c r="I51" s="5" t="s">
        <v>444</v>
      </c>
      <c r="J51" s="5" t="s">
        <v>449</v>
      </c>
      <c r="K51" s="24" t="s">
        <v>282</v>
      </c>
      <c r="L51" s="25"/>
      <c r="M51" s="25"/>
      <c r="N51" s="25"/>
      <c r="O51" s="24" t="s">
        <v>20</v>
      </c>
    </row>
    <row r="52" customFormat="false" ht="30.75" hidden="false" customHeight="true" outlineLevel="0" collapsed="false">
      <c r="A52" s="16" t="s">
        <v>450</v>
      </c>
      <c r="B52" s="5" t="s">
        <v>451</v>
      </c>
      <c r="C52" s="5" t="s">
        <v>9</v>
      </c>
      <c r="D52" s="5" t="s">
        <v>315</v>
      </c>
      <c r="E52" s="6" t="n">
        <v>7</v>
      </c>
      <c r="F52" s="6" t="n">
        <v>2</v>
      </c>
      <c r="G52" s="5" t="s">
        <v>452</v>
      </c>
      <c r="H52" s="6" t="n">
        <v>2</v>
      </c>
      <c r="I52" s="5" t="s">
        <v>453</v>
      </c>
      <c r="J52" s="5" t="s">
        <v>454</v>
      </c>
      <c r="K52" s="24" t="s">
        <v>282</v>
      </c>
      <c r="L52" s="25"/>
      <c r="M52" s="25"/>
      <c r="N52" s="25"/>
      <c r="O52" s="24" t="s">
        <v>20</v>
      </c>
    </row>
    <row r="53" customFormat="false" ht="43.5" hidden="false" customHeight="true" outlineLevel="0" collapsed="false">
      <c r="A53" s="16" t="s">
        <v>208</v>
      </c>
      <c r="B53" s="5" t="s">
        <v>455</v>
      </c>
      <c r="C53" s="5" t="s">
        <v>9</v>
      </c>
      <c r="D53" s="5" t="s">
        <v>318</v>
      </c>
      <c r="E53" s="6" t="n">
        <v>9</v>
      </c>
      <c r="F53" s="6" t="n">
        <v>2</v>
      </c>
      <c r="G53" s="5" t="s">
        <v>456</v>
      </c>
      <c r="H53" s="6" t="n">
        <v>2</v>
      </c>
      <c r="I53" s="5" t="s">
        <v>457</v>
      </c>
      <c r="J53" s="5" t="s">
        <v>458</v>
      </c>
      <c r="K53" s="24" t="s">
        <v>282</v>
      </c>
      <c r="L53" s="25"/>
      <c r="M53" s="25"/>
      <c r="N53" s="25"/>
      <c r="O53" s="24" t="s">
        <v>20</v>
      </c>
    </row>
    <row r="54" customFormat="false" ht="43.5" hidden="false" customHeight="true" outlineLevel="0" collapsed="false">
      <c r="A54" s="16" t="s">
        <v>212</v>
      </c>
      <c r="B54" s="5" t="s">
        <v>459</v>
      </c>
      <c r="C54" s="5" t="s">
        <v>9</v>
      </c>
      <c r="D54" s="5" t="s">
        <v>318</v>
      </c>
      <c r="E54" s="6" t="n">
        <v>9</v>
      </c>
      <c r="F54" s="6" t="n">
        <v>2</v>
      </c>
      <c r="G54" s="5" t="s">
        <v>460</v>
      </c>
      <c r="H54" s="6" t="n">
        <v>3</v>
      </c>
      <c r="I54" s="5" t="s">
        <v>461</v>
      </c>
      <c r="J54" s="5" t="s">
        <v>462</v>
      </c>
      <c r="K54" s="24" t="s">
        <v>282</v>
      </c>
      <c r="L54" s="25"/>
      <c r="M54" s="25"/>
      <c r="N54" s="25"/>
      <c r="O54" s="24" t="s">
        <v>20</v>
      </c>
    </row>
    <row r="55" customFormat="false" ht="18" hidden="false" customHeight="true" outlineLevel="0" collapsed="false">
      <c r="A55" s="16" t="s">
        <v>463</v>
      </c>
      <c r="B55" s="5" t="s">
        <v>464</v>
      </c>
      <c r="C55" s="5" t="s">
        <v>8</v>
      </c>
      <c r="D55" s="5" t="s">
        <v>321</v>
      </c>
      <c r="E55" s="6" t="n">
        <v>9</v>
      </c>
      <c r="F55" s="6" t="n">
        <v>2</v>
      </c>
      <c r="G55" s="5" t="s">
        <v>465</v>
      </c>
      <c r="H55" s="6" t="n">
        <v>1</v>
      </c>
      <c r="I55" s="5" t="s">
        <v>466</v>
      </c>
      <c r="J55" s="5" t="s">
        <v>467</v>
      </c>
      <c r="K55" s="24" t="s">
        <v>282</v>
      </c>
      <c r="L55" s="25"/>
      <c r="M55" s="25"/>
      <c r="N55" s="25"/>
      <c r="O55" s="24" t="s">
        <v>20</v>
      </c>
    </row>
    <row r="56" customFormat="false" ht="43.5" hidden="false" customHeight="true" outlineLevel="0" collapsed="false">
      <c r="A56" s="16" t="s">
        <v>468</v>
      </c>
      <c r="B56" s="5" t="s">
        <v>469</v>
      </c>
      <c r="C56" s="5" t="s">
        <v>9</v>
      </c>
      <c r="D56" s="5" t="s">
        <v>321</v>
      </c>
      <c r="E56" s="6" t="n">
        <v>9</v>
      </c>
      <c r="F56" s="6" t="n">
        <v>2</v>
      </c>
      <c r="G56" s="5" t="s">
        <v>470</v>
      </c>
      <c r="H56" s="6" t="n">
        <v>3</v>
      </c>
      <c r="I56" s="5" t="s">
        <v>466</v>
      </c>
      <c r="J56" s="5" t="s">
        <v>467</v>
      </c>
      <c r="K56" s="24" t="s">
        <v>282</v>
      </c>
      <c r="L56" s="25"/>
      <c r="M56" s="25"/>
      <c r="N56" s="25"/>
      <c r="O56" s="24" t="s">
        <v>20</v>
      </c>
    </row>
    <row r="57" customFormat="false" ht="30.75" hidden="false" customHeight="true" outlineLevel="0" collapsed="false">
      <c r="A57" s="16" t="s">
        <v>471</v>
      </c>
      <c r="B57" s="5" t="s">
        <v>472</v>
      </c>
      <c r="C57" s="5" t="s">
        <v>11</v>
      </c>
      <c r="D57" s="5" t="s">
        <v>321</v>
      </c>
      <c r="E57" s="6" t="n">
        <v>9</v>
      </c>
      <c r="F57" s="6" t="n">
        <v>2</v>
      </c>
      <c r="G57" s="5" t="s">
        <v>473</v>
      </c>
      <c r="H57" s="6" t="n">
        <v>2</v>
      </c>
      <c r="I57" s="5" t="s">
        <v>466</v>
      </c>
      <c r="J57" s="5" t="s">
        <v>467</v>
      </c>
      <c r="K57" s="24" t="s">
        <v>282</v>
      </c>
      <c r="L57" s="25"/>
      <c r="M57" s="25"/>
      <c r="N57" s="25"/>
      <c r="O57" s="24" t="s">
        <v>20</v>
      </c>
    </row>
    <row r="58" customFormat="false" ht="30.75" hidden="false" customHeight="true" outlineLevel="0" collapsed="false">
      <c r="A58" s="16" t="s">
        <v>474</v>
      </c>
      <c r="B58" s="5" t="s">
        <v>475</v>
      </c>
      <c r="C58" s="5" t="s">
        <v>12</v>
      </c>
      <c r="D58" s="5" t="s">
        <v>321</v>
      </c>
      <c r="E58" s="6" t="n">
        <v>9</v>
      </c>
      <c r="F58" s="6" t="n">
        <v>2</v>
      </c>
      <c r="G58" s="5" t="s">
        <v>473</v>
      </c>
      <c r="H58" s="6" t="n">
        <v>2</v>
      </c>
      <c r="I58" s="5" t="s">
        <v>466</v>
      </c>
      <c r="J58" s="5" t="s">
        <v>476</v>
      </c>
      <c r="K58" s="24" t="s">
        <v>282</v>
      </c>
      <c r="L58" s="25"/>
      <c r="M58" s="25"/>
      <c r="N58" s="25"/>
      <c r="O58" s="24" t="s">
        <v>20</v>
      </c>
    </row>
    <row r="59" customFormat="false" ht="18" hidden="false" customHeight="true" outlineLevel="0" collapsed="false">
      <c r="A59" s="16" t="s">
        <v>477</v>
      </c>
      <c r="B59" s="5" t="s">
        <v>478</v>
      </c>
      <c r="C59" s="5" t="s">
        <v>9</v>
      </c>
      <c r="D59" s="5" t="s">
        <v>299</v>
      </c>
      <c r="E59" s="6" t="n">
        <v>11</v>
      </c>
      <c r="F59" s="6" t="n">
        <v>3</v>
      </c>
      <c r="G59" s="5" t="s">
        <v>479</v>
      </c>
      <c r="H59" s="6" t="n">
        <v>1</v>
      </c>
      <c r="I59" s="5" t="s">
        <v>480</v>
      </c>
      <c r="J59" s="5" t="s">
        <v>389</v>
      </c>
      <c r="K59" s="24" t="s">
        <v>282</v>
      </c>
      <c r="L59" s="25"/>
      <c r="M59" s="25"/>
      <c r="N59" s="25"/>
      <c r="O59" s="24" t="s">
        <v>20</v>
      </c>
    </row>
    <row r="60" customFormat="false" ht="43.5" hidden="false" customHeight="true" outlineLevel="0" collapsed="false">
      <c r="A60" s="16" t="s">
        <v>481</v>
      </c>
      <c r="B60" s="5" t="s">
        <v>482</v>
      </c>
      <c r="C60" s="5" t="s">
        <v>9</v>
      </c>
      <c r="D60" s="5" t="s">
        <v>315</v>
      </c>
      <c r="E60" s="6" t="n">
        <v>11</v>
      </c>
      <c r="F60" s="6" t="n">
        <v>3</v>
      </c>
      <c r="G60" s="5" t="s">
        <v>483</v>
      </c>
      <c r="H60" s="6" t="n">
        <v>3</v>
      </c>
      <c r="I60" s="5" t="s">
        <v>484</v>
      </c>
      <c r="J60" s="5" t="s">
        <v>485</v>
      </c>
      <c r="K60" s="24" t="s">
        <v>282</v>
      </c>
      <c r="L60" s="25"/>
      <c r="M60" s="25"/>
      <c r="N60" s="25"/>
      <c r="O60" s="24" t="s">
        <v>20</v>
      </c>
    </row>
    <row r="61" customFormat="false" ht="30.75" hidden="false" customHeight="true" outlineLevel="0" collapsed="false">
      <c r="A61" s="16" t="s">
        <v>486</v>
      </c>
      <c r="B61" s="5" t="s">
        <v>487</v>
      </c>
      <c r="C61" s="5" t="s">
        <v>11</v>
      </c>
      <c r="D61" s="5" t="s">
        <v>315</v>
      </c>
      <c r="E61" s="6" t="n">
        <v>11</v>
      </c>
      <c r="F61" s="6" t="n">
        <v>3</v>
      </c>
      <c r="G61" s="5" t="s">
        <v>488</v>
      </c>
      <c r="H61" s="6" t="n">
        <v>2</v>
      </c>
      <c r="I61" s="5" t="s">
        <v>484</v>
      </c>
      <c r="J61" s="5" t="s">
        <v>489</v>
      </c>
      <c r="K61" s="24" t="s">
        <v>282</v>
      </c>
      <c r="L61" s="25"/>
      <c r="M61" s="25"/>
      <c r="N61" s="25"/>
      <c r="O61" s="24" t="s">
        <v>20</v>
      </c>
    </row>
    <row r="62" customFormat="false" ht="30.75" hidden="false" customHeight="true" outlineLevel="0" collapsed="false">
      <c r="A62" s="16" t="s">
        <v>241</v>
      </c>
      <c r="B62" s="5" t="s">
        <v>490</v>
      </c>
      <c r="C62" s="5" t="s">
        <v>9</v>
      </c>
      <c r="D62" s="5" t="s">
        <v>318</v>
      </c>
      <c r="E62" s="6" t="n">
        <v>13</v>
      </c>
      <c r="F62" s="6" t="n">
        <v>3</v>
      </c>
      <c r="G62" s="5" t="s">
        <v>491</v>
      </c>
      <c r="H62" s="6" t="n">
        <v>1</v>
      </c>
      <c r="I62" s="5" t="s">
        <v>254</v>
      </c>
      <c r="J62" s="5" t="s">
        <v>492</v>
      </c>
      <c r="K62" s="24" t="s">
        <v>282</v>
      </c>
      <c r="L62" s="25"/>
      <c r="M62" s="25"/>
      <c r="N62" s="25"/>
      <c r="O62" s="24" t="s">
        <v>20</v>
      </c>
    </row>
    <row r="63" customFormat="false" ht="18" hidden="false" customHeight="true" outlineLevel="0" collapsed="false">
      <c r="A63" s="16" t="s">
        <v>493</v>
      </c>
      <c r="B63" s="5" t="s">
        <v>494</v>
      </c>
      <c r="C63" s="5" t="s">
        <v>12</v>
      </c>
      <c r="D63" s="5" t="s">
        <v>299</v>
      </c>
      <c r="E63" s="6" t="n">
        <v>14</v>
      </c>
      <c r="F63" s="6" t="n">
        <v>3</v>
      </c>
      <c r="G63" s="5" t="s">
        <v>495</v>
      </c>
      <c r="H63" s="6" t="n">
        <v>1</v>
      </c>
      <c r="I63" s="5" t="s">
        <v>496</v>
      </c>
      <c r="J63" s="5" t="s">
        <v>497</v>
      </c>
      <c r="K63" s="24" t="s">
        <v>282</v>
      </c>
      <c r="L63" s="25"/>
      <c r="M63" s="25"/>
      <c r="N63" s="25"/>
      <c r="O63" s="24" t="s">
        <v>20</v>
      </c>
    </row>
  </sheetData>
  <autoFilter ref="A4:O4"/>
  <mergeCells count="2">
    <mergeCell ref="A1:O1"/>
    <mergeCell ref="A2:O2"/>
  </mergeCells>
  <dataValidations count="2">
    <dataValidation allowBlank="true" errorStyle="stop" operator="between" showDropDown="false" showErrorMessage="false" showInputMessage="false" sqref="O5:O63" type="list">
      <formula1>"Not started,Drafting,In review,Approved,Published"</formula1>
      <formula2>0</formula2>
    </dataValidation>
    <dataValidation allowBlank="true" errorStyle="stop" operator="between" showDropDown="false" showErrorMessage="false" showInputMessage="false" sqref="K5:K63" type="list">
      <formula1>"To triage,New,Keep from legacy,Merge from legacy"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1" t="s">
        <v>498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4" t="s">
        <v>499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30" hidden="false" customHeight="true" outlineLevel="0" collapsed="false">
      <c r="A4" s="4" t="s">
        <v>500</v>
      </c>
      <c r="B4" s="4" t="s">
        <v>266</v>
      </c>
      <c r="C4" s="4" t="s">
        <v>267</v>
      </c>
      <c r="D4" s="4" t="s">
        <v>65</v>
      </c>
      <c r="E4" s="4" t="s">
        <v>64</v>
      </c>
      <c r="F4" s="4" t="s">
        <v>501</v>
      </c>
      <c r="G4" s="4" t="s">
        <v>502</v>
      </c>
      <c r="H4" s="4" t="s">
        <v>33</v>
      </c>
      <c r="I4" s="4" t="s">
        <v>503</v>
      </c>
      <c r="J4" s="4" t="s">
        <v>16</v>
      </c>
    </row>
    <row r="5" customFormat="false" ht="18" hidden="false" customHeight="true" outlineLevel="0" collapsed="false">
      <c r="A5" s="16" t="s">
        <v>74</v>
      </c>
      <c r="B5" s="5" t="s">
        <v>72</v>
      </c>
      <c r="C5" s="6" t="s">
        <v>30</v>
      </c>
      <c r="D5" s="6" t="n">
        <v>1</v>
      </c>
      <c r="E5" s="6" t="n">
        <v>1</v>
      </c>
      <c r="F5" s="5" t="s">
        <v>72</v>
      </c>
      <c r="G5" s="5" t="s">
        <v>75</v>
      </c>
      <c r="H5" s="5" t="s">
        <v>89</v>
      </c>
      <c r="I5" s="24" t="n">
        <v>4</v>
      </c>
      <c r="J5" s="24" t="s">
        <v>20</v>
      </c>
    </row>
    <row r="6" customFormat="false" ht="30.75" hidden="false" customHeight="true" outlineLevel="0" collapsed="false">
      <c r="A6" s="16" t="s">
        <v>78</v>
      </c>
      <c r="B6" s="5" t="s">
        <v>77</v>
      </c>
      <c r="C6" s="6" t="s">
        <v>30</v>
      </c>
      <c r="D6" s="6" t="n">
        <v>1</v>
      </c>
      <c r="E6" s="6" t="n">
        <v>1</v>
      </c>
      <c r="F6" s="5" t="s">
        <v>77</v>
      </c>
      <c r="G6" s="5" t="s">
        <v>79</v>
      </c>
      <c r="H6" s="5" t="s">
        <v>89</v>
      </c>
      <c r="I6" s="24" t="n">
        <v>4</v>
      </c>
      <c r="J6" s="24" t="s">
        <v>20</v>
      </c>
    </row>
    <row r="7" customFormat="false" ht="18" hidden="false" customHeight="true" outlineLevel="0" collapsed="false">
      <c r="A7" s="16" t="s">
        <v>81</v>
      </c>
      <c r="B7" s="5" t="s">
        <v>80</v>
      </c>
      <c r="C7" s="6" t="s">
        <v>30</v>
      </c>
      <c r="D7" s="6" t="n">
        <v>1</v>
      </c>
      <c r="E7" s="6" t="n">
        <v>1</v>
      </c>
      <c r="F7" s="5" t="s">
        <v>80</v>
      </c>
      <c r="G7" s="5" t="s">
        <v>82</v>
      </c>
      <c r="H7" s="5" t="s">
        <v>89</v>
      </c>
      <c r="I7" s="24" t="n">
        <v>4</v>
      </c>
      <c r="J7" s="24" t="s">
        <v>20</v>
      </c>
    </row>
    <row r="8" customFormat="false" ht="18" hidden="false" customHeight="true" outlineLevel="0" collapsed="false">
      <c r="A8" s="16" t="s">
        <v>85</v>
      </c>
      <c r="B8" s="5" t="s">
        <v>84</v>
      </c>
      <c r="C8" s="6" t="s">
        <v>30</v>
      </c>
      <c r="D8" s="6" t="n">
        <v>1</v>
      </c>
      <c r="E8" s="6" t="n">
        <v>1</v>
      </c>
      <c r="F8" s="5" t="s">
        <v>84</v>
      </c>
      <c r="G8" s="5" t="s">
        <v>86</v>
      </c>
      <c r="H8" s="5" t="s">
        <v>89</v>
      </c>
      <c r="I8" s="24" t="n">
        <v>4</v>
      </c>
      <c r="J8" s="24" t="s">
        <v>20</v>
      </c>
    </row>
    <row r="9" customFormat="false" ht="18" hidden="false" customHeight="true" outlineLevel="0" collapsed="false">
      <c r="A9" s="16" t="s">
        <v>97</v>
      </c>
      <c r="B9" s="5" t="s">
        <v>95</v>
      </c>
      <c r="C9" s="6" t="s">
        <v>30</v>
      </c>
      <c r="D9" s="6" t="n">
        <v>1</v>
      </c>
      <c r="E9" s="6" t="n">
        <v>2</v>
      </c>
      <c r="F9" s="5" t="s">
        <v>95</v>
      </c>
      <c r="G9" s="5" t="s">
        <v>98</v>
      </c>
      <c r="H9" s="5" t="s">
        <v>99</v>
      </c>
      <c r="I9" s="24" t="n">
        <v>4</v>
      </c>
      <c r="J9" s="24" t="s">
        <v>20</v>
      </c>
    </row>
    <row r="10" customFormat="false" ht="18" hidden="false" customHeight="true" outlineLevel="0" collapsed="false">
      <c r="A10" s="16" t="s">
        <v>101</v>
      </c>
      <c r="B10" s="5" t="s">
        <v>100</v>
      </c>
      <c r="C10" s="6" t="s">
        <v>30</v>
      </c>
      <c r="D10" s="6" t="n">
        <v>1</v>
      </c>
      <c r="E10" s="6" t="n">
        <v>2</v>
      </c>
      <c r="F10" s="5" t="s">
        <v>100</v>
      </c>
      <c r="G10" s="5" t="s">
        <v>102</v>
      </c>
      <c r="H10" s="5" t="s">
        <v>89</v>
      </c>
      <c r="I10" s="24" t="n">
        <v>4</v>
      </c>
      <c r="J10" s="24" t="s">
        <v>20</v>
      </c>
    </row>
    <row r="11" customFormat="false" ht="18" hidden="false" customHeight="true" outlineLevel="0" collapsed="false">
      <c r="A11" s="21" t="s">
        <v>110</v>
      </c>
      <c r="B11" s="19" t="s">
        <v>109</v>
      </c>
      <c r="C11" s="18" t="s">
        <v>31</v>
      </c>
      <c r="D11" s="18" t="n">
        <v>1</v>
      </c>
      <c r="E11" s="18" t="n">
        <v>2</v>
      </c>
      <c r="F11" s="19" t="s">
        <v>109</v>
      </c>
      <c r="G11" s="19" t="s">
        <v>111</v>
      </c>
      <c r="H11" s="19" t="s">
        <v>112</v>
      </c>
      <c r="I11" s="24" t="n">
        <v>4</v>
      </c>
      <c r="J11" s="24" t="s">
        <v>20</v>
      </c>
    </row>
    <row r="12" customFormat="false" ht="30.75" hidden="false" customHeight="true" outlineLevel="0" collapsed="false">
      <c r="A12" s="16" t="s">
        <v>116</v>
      </c>
      <c r="B12" s="5" t="s">
        <v>115</v>
      </c>
      <c r="C12" s="6" t="s">
        <v>30</v>
      </c>
      <c r="D12" s="6" t="n">
        <v>1</v>
      </c>
      <c r="E12" s="6" t="n">
        <v>3</v>
      </c>
      <c r="F12" s="5" t="s">
        <v>115</v>
      </c>
      <c r="G12" s="5" t="s">
        <v>117</v>
      </c>
      <c r="H12" s="5" t="s">
        <v>118</v>
      </c>
      <c r="I12" s="24" t="n">
        <v>4</v>
      </c>
      <c r="J12" s="24" t="s">
        <v>20</v>
      </c>
    </row>
    <row r="13" customFormat="false" ht="30.75" hidden="false" customHeight="true" outlineLevel="0" collapsed="false">
      <c r="A13" s="16" t="s">
        <v>123</v>
      </c>
      <c r="B13" s="5" t="s">
        <v>122</v>
      </c>
      <c r="C13" s="6" t="s">
        <v>30</v>
      </c>
      <c r="D13" s="6" t="n">
        <v>1</v>
      </c>
      <c r="E13" s="6" t="n">
        <v>3</v>
      </c>
      <c r="F13" s="5" t="s">
        <v>122</v>
      </c>
      <c r="G13" s="5" t="s">
        <v>124</v>
      </c>
      <c r="H13" s="5" t="s">
        <v>89</v>
      </c>
      <c r="I13" s="24" t="n">
        <v>4</v>
      </c>
      <c r="J13" s="24" t="s">
        <v>20</v>
      </c>
    </row>
    <row r="14" customFormat="false" ht="30.75" hidden="false" customHeight="true" outlineLevel="0" collapsed="false">
      <c r="A14" s="16" t="s">
        <v>129</v>
      </c>
      <c r="B14" s="5" t="s">
        <v>128</v>
      </c>
      <c r="C14" s="6" t="s">
        <v>30</v>
      </c>
      <c r="D14" s="6" t="n">
        <v>1</v>
      </c>
      <c r="E14" s="6" t="n">
        <v>3</v>
      </c>
      <c r="F14" s="5" t="s">
        <v>128</v>
      </c>
      <c r="G14" s="5" t="s">
        <v>130</v>
      </c>
      <c r="H14" s="5" t="s">
        <v>131</v>
      </c>
      <c r="I14" s="24" t="n">
        <v>4</v>
      </c>
      <c r="J14" s="24" t="s">
        <v>20</v>
      </c>
    </row>
    <row r="15" customFormat="false" ht="30.75" hidden="false" customHeight="true" outlineLevel="0" collapsed="false">
      <c r="A15" s="16" t="s">
        <v>133</v>
      </c>
      <c r="B15" s="5" t="s">
        <v>132</v>
      </c>
      <c r="C15" s="6" t="s">
        <v>30</v>
      </c>
      <c r="D15" s="6" t="n">
        <v>1</v>
      </c>
      <c r="E15" s="6" t="n">
        <v>4</v>
      </c>
      <c r="F15" s="5" t="s">
        <v>132</v>
      </c>
      <c r="G15" s="5" t="s">
        <v>134</v>
      </c>
      <c r="H15" s="5" t="s">
        <v>89</v>
      </c>
      <c r="I15" s="24" t="n">
        <v>4</v>
      </c>
      <c r="J15" s="24" t="s">
        <v>20</v>
      </c>
    </row>
    <row r="16" customFormat="false" ht="30.75" hidden="false" customHeight="true" outlineLevel="0" collapsed="false">
      <c r="A16" s="16" t="s">
        <v>136</v>
      </c>
      <c r="B16" s="5" t="s">
        <v>135</v>
      </c>
      <c r="C16" s="6" t="s">
        <v>30</v>
      </c>
      <c r="D16" s="6" t="n">
        <v>1</v>
      </c>
      <c r="E16" s="6" t="n">
        <v>4</v>
      </c>
      <c r="F16" s="5" t="s">
        <v>135</v>
      </c>
      <c r="G16" s="5" t="s">
        <v>137</v>
      </c>
      <c r="H16" s="5" t="s">
        <v>89</v>
      </c>
      <c r="I16" s="24" t="n">
        <v>4</v>
      </c>
      <c r="J16" s="24" t="s">
        <v>20</v>
      </c>
    </row>
    <row r="17" customFormat="false" ht="18" hidden="false" customHeight="true" outlineLevel="0" collapsed="false">
      <c r="A17" s="16" t="s">
        <v>144</v>
      </c>
      <c r="B17" s="5" t="s">
        <v>143</v>
      </c>
      <c r="C17" s="6" t="s">
        <v>30</v>
      </c>
      <c r="D17" s="6" t="n">
        <v>1</v>
      </c>
      <c r="E17" s="6" t="n">
        <v>4</v>
      </c>
      <c r="F17" s="5" t="s">
        <v>143</v>
      </c>
      <c r="G17" s="5" t="s">
        <v>145</v>
      </c>
      <c r="H17" s="5" t="s">
        <v>146</v>
      </c>
      <c r="I17" s="24" t="n">
        <v>4</v>
      </c>
      <c r="J17" s="24" t="s">
        <v>20</v>
      </c>
    </row>
    <row r="18" customFormat="false" ht="18" hidden="false" customHeight="true" outlineLevel="0" collapsed="false">
      <c r="A18" s="16" t="s">
        <v>152</v>
      </c>
      <c r="B18" s="5" t="s">
        <v>151</v>
      </c>
      <c r="C18" s="6" t="s">
        <v>30</v>
      </c>
      <c r="D18" s="6" t="n">
        <v>1</v>
      </c>
      <c r="E18" s="6" t="n">
        <v>5</v>
      </c>
      <c r="F18" s="5" t="s">
        <v>151</v>
      </c>
      <c r="G18" s="5" t="s">
        <v>153</v>
      </c>
      <c r="H18" s="5" t="s">
        <v>154</v>
      </c>
      <c r="I18" s="24" t="n">
        <v>4</v>
      </c>
      <c r="J18" s="24" t="s">
        <v>20</v>
      </c>
    </row>
    <row r="19" customFormat="false" ht="18" hidden="false" customHeight="true" outlineLevel="0" collapsed="false">
      <c r="A19" s="16" t="s">
        <v>160</v>
      </c>
      <c r="B19" s="5" t="s">
        <v>159</v>
      </c>
      <c r="C19" s="6" t="s">
        <v>30</v>
      </c>
      <c r="D19" s="6" t="n">
        <v>1</v>
      </c>
      <c r="E19" s="6" t="n">
        <v>5</v>
      </c>
      <c r="F19" s="5" t="s">
        <v>159</v>
      </c>
      <c r="G19" s="5" t="s">
        <v>161</v>
      </c>
      <c r="H19" s="5" t="s">
        <v>162</v>
      </c>
      <c r="I19" s="24" t="n">
        <v>4</v>
      </c>
      <c r="J19" s="24" t="s">
        <v>20</v>
      </c>
    </row>
    <row r="20" customFormat="false" ht="108.75" hidden="false" customHeight="true" outlineLevel="0" collapsed="false">
      <c r="A20" s="21" t="s">
        <v>168</v>
      </c>
      <c r="B20" s="19" t="s">
        <v>167</v>
      </c>
      <c r="C20" s="18" t="s">
        <v>32</v>
      </c>
      <c r="D20" s="18" t="n">
        <v>2</v>
      </c>
      <c r="E20" s="18" t="n">
        <v>6</v>
      </c>
      <c r="F20" s="19" t="s">
        <v>167</v>
      </c>
      <c r="G20" s="19" t="s">
        <v>504</v>
      </c>
      <c r="H20" s="19" t="s">
        <v>169</v>
      </c>
      <c r="I20" s="24" t="n">
        <v>20</v>
      </c>
      <c r="J20" s="24" t="s">
        <v>20</v>
      </c>
    </row>
    <row r="21" customFormat="false" ht="30.75" hidden="false" customHeight="true" outlineLevel="0" collapsed="false">
      <c r="A21" s="16" t="s">
        <v>172</v>
      </c>
      <c r="B21" s="5" t="s">
        <v>171</v>
      </c>
      <c r="C21" s="6" t="s">
        <v>30</v>
      </c>
      <c r="D21" s="6" t="n">
        <v>2</v>
      </c>
      <c r="E21" s="6" t="n">
        <v>6</v>
      </c>
      <c r="F21" s="5" t="s">
        <v>171</v>
      </c>
      <c r="G21" s="5" t="s">
        <v>173</v>
      </c>
      <c r="H21" s="5" t="s">
        <v>174</v>
      </c>
      <c r="I21" s="24" t="n">
        <v>4</v>
      </c>
      <c r="J21" s="24" t="s">
        <v>20</v>
      </c>
    </row>
    <row r="22" customFormat="false" ht="18" hidden="false" customHeight="true" outlineLevel="0" collapsed="false">
      <c r="A22" s="16" t="s">
        <v>176</v>
      </c>
      <c r="B22" s="5" t="s">
        <v>175</v>
      </c>
      <c r="C22" s="6" t="s">
        <v>30</v>
      </c>
      <c r="D22" s="6" t="n">
        <v>2</v>
      </c>
      <c r="E22" s="6" t="n">
        <v>6</v>
      </c>
      <c r="F22" s="5" t="s">
        <v>175</v>
      </c>
      <c r="G22" s="5" t="s">
        <v>177</v>
      </c>
      <c r="H22" s="5" t="s">
        <v>89</v>
      </c>
      <c r="I22" s="24" t="n">
        <v>4</v>
      </c>
      <c r="J22" s="24" t="s">
        <v>20</v>
      </c>
    </row>
    <row r="23" customFormat="false" ht="18" hidden="false" customHeight="true" outlineLevel="0" collapsed="false">
      <c r="A23" s="21" t="s">
        <v>179</v>
      </c>
      <c r="B23" s="19" t="s">
        <v>178</v>
      </c>
      <c r="C23" s="18" t="s">
        <v>31</v>
      </c>
      <c r="D23" s="18" t="n">
        <v>2</v>
      </c>
      <c r="E23" s="18" t="n">
        <v>6</v>
      </c>
      <c r="F23" s="19" t="s">
        <v>178</v>
      </c>
      <c r="G23" s="19" t="s">
        <v>180</v>
      </c>
      <c r="H23" s="19" t="s">
        <v>181</v>
      </c>
      <c r="I23" s="24" t="n">
        <v>4</v>
      </c>
      <c r="J23" s="24" t="s">
        <v>20</v>
      </c>
    </row>
    <row r="24" customFormat="false" ht="18" hidden="false" customHeight="true" outlineLevel="0" collapsed="false">
      <c r="A24" s="21" t="s">
        <v>183</v>
      </c>
      <c r="B24" s="19" t="s">
        <v>182</v>
      </c>
      <c r="C24" s="18" t="s">
        <v>31</v>
      </c>
      <c r="D24" s="18" t="n">
        <v>2</v>
      </c>
      <c r="E24" s="18" t="n">
        <v>7</v>
      </c>
      <c r="F24" s="19" t="s">
        <v>182</v>
      </c>
      <c r="G24" s="19" t="s">
        <v>184</v>
      </c>
      <c r="H24" s="19" t="s">
        <v>185</v>
      </c>
      <c r="I24" s="24" t="n">
        <v>4</v>
      </c>
      <c r="J24" s="24" t="s">
        <v>20</v>
      </c>
    </row>
    <row r="25" customFormat="false" ht="18" hidden="false" customHeight="true" outlineLevel="0" collapsed="false">
      <c r="A25" s="16" t="s">
        <v>187</v>
      </c>
      <c r="B25" s="5" t="s">
        <v>186</v>
      </c>
      <c r="C25" s="6" t="s">
        <v>30</v>
      </c>
      <c r="D25" s="6" t="n">
        <v>2</v>
      </c>
      <c r="E25" s="6" t="n">
        <v>7</v>
      </c>
      <c r="F25" s="5" t="s">
        <v>186</v>
      </c>
      <c r="G25" s="5" t="s">
        <v>188</v>
      </c>
      <c r="H25" s="5" t="s">
        <v>189</v>
      </c>
      <c r="I25" s="24" t="n">
        <v>4</v>
      </c>
      <c r="J25" s="24" t="s">
        <v>20</v>
      </c>
    </row>
    <row r="26" customFormat="false" ht="18" hidden="false" customHeight="true" outlineLevel="0" collapsed="false">
      <c r="A26" s="16" t="s">
        <v>199</v>
      </c>
      <c r="B26" s="5" t="s">
        <v>198</v>
      </c>
      <c r="C26" s="6" t="s">
        <v>30</v>
      </c>
      <c r="D26" s="6" t="n">
        <v>2</v>
      </c>
      <c r="E26" s="6" t="n">
        <v>9</v>
      </c>
      <c r="F26" s="5" t="s">
        <v>198</v>
      </c>
      <c r="G26" s="5" t="s">
        <v>200</v>
      </c>
      <c r="H26" s="5" t="s">
        <v>201</v>
      </c>
      <c r="I26" s="24" t="n">
        <v>4</v>
      </c>
      <c r="J26" s="24" t="s">
        <v>20</v>
      </c>
    </row>
    <row r="27" customFormat="false" ht="30.75" hidden="false" customHeight="true" outlineLevel="0" collapsed="false">
      <c r="A27" s="16" t="s">
        <v>207</v>
      </c>
      <c r="B27" s="5" t="s">
        <v>206</v>
      </c>
      <c r="C27" s="6" t="s">
        <v>30</v>
      </c>
      <c r="D27" s="6" t="n">
        <v>2</v>
      </c>
      <c r="E27" s="6" t="n">
        <v>9</v>
      </c>
      <c r="F27" s="5" t="s">
        <v>206</v>
      </c>
      <c r="G27" s="5" t="s">
        <v>208</v>
      </c>
      <c r="H27" s="5" t="s">
        <v>209</v>
      </c>
      <c r="I27" s="24" t="n">
        <v>4</v>
      </c>
      <c r="J27" s="24" t="s">
        <v>20</v>
      </c>
    </row>
    <row r="28" customFormat="false" ht="18" hidden="false" customHeight="true" outlineLevel="0" collapsed="false">
      <c r="A28" s="16" t="s">
        <v>211</v>
      </c>
      <c r="B28" s="5" t="s">
        <v>210</v>
      </c>
      <c r="C28" s="6" t="s">
        <v>30</v>
      </c>
      <c r="D28" s="6" t="n">
        <v>2</v>
      </c>
      <c r="E28" s="6" t="n">
        <v>9</v>
      </c>
      <c r="F28" s="5" t="s">
        <v>210</v>
      </c>
      <c r="G28" s="5" t="s">
        <v>212</v>
      </c>
      <c r="H28" s="5" t="s">
        <v>213</v>
      </c>
      <c r="I28" s="24" t="n">
        <v>4</v>
      </c>
      <c r="J28" s="24" t="s">
        <v>20</v>
      </c>
    </row>
    <row r="29" customFormat="false" ht="57" hidden="false" customHeight="true" outlineLevel="0" collapsed="false">
      <c r="A29" s="21" t="s">
        <v>219</v>
      </c>
      <c r="B29" s="19" t="s">
        <v>218</v>
      </c>
      <c r="C29" s="18" t="s">
        <v>32</v>
      </c>
      <c r="D29" s="18" t="n">
        <v>2</v>
      </c>
      <c r="E29" s="18" t="n">
        <v>10</v>
      </c>
      <c r="F29" s="19" t="s">
        <v>218</v>
      </c>
      <c r="G29" s="19" t="s">
        <v>505</v>
      </c>
      <c r="H29" s="19" t="s">
        <v>220</v>
      </c>
      <c r="I29" s="24" t="n">
        <v>15</v>
      </c>
      <c r="J29" s="24" t="s">
        <v>20</v>
      </c>
    </row>
    <row r="30" customFormat="false" ht="18" hidden="false" customHeight="true" outlineLevel="0" collapsed="false">
      <c r="A30" s="21" t="s">
        <v>223</v>
      </c>
      <c r="B30" s="19" t="s">
        <v>222</v>
      </c>
      <c r="C30" s="18" t="s">
        <v>31</v>
      </c>
      <c r="D30" s="18" t="n">
        <v>3</v>
      </c>
      <c r="E30" s="18" t="n">
        <v>11</v>
      </c>
      <c r="F30" s="19" t="s">
        <v>222</v>
      </c>
      <c r="G30" s="19" t="s">
        <v>224</v>
      </c>
      <c r="H30" s="19" t="s">
        <v>225</v>
      </c>
      <c r="I30" s="24" t="n">
        <v>4</v>
      </c>
      <c r="J30" s="24" t="s">
        <v>20</v>
      </c>
    </row>
    <row r="31" customFormat="false" ht="18" hidden="false" customHeight="true" outlineLevel="0" collapsed="false">
      <c r="A31" s="16" t="s">
        <v>230</v>
      </c>
      <c r="B31" s="5" t="s">
        <v>229</v>
      </c>
      <c r="C31" s="6" t="s">
        <v>30</v>
      </c>
      <c r="D31" s="6" t="n">
        <v>3</v>
      </c>
      <c r="E31" s="6" t="n">
        <v>11</v>
      </c>
      <c r="F31" s="5" t="s">
        <v>229</v>
      </c>
      <c r="G31" s="5" t="s">
        <v>231</v>
      </c>
      <c r="H31" s="5" t="s">
        <v>89</v>
      </c>
      <c r="I31" s="24" t="n">
        <v>4</v>
      </c>
      <c r="J31" s="24" t="s">
        <v>20</v>
      </c>
    </row>
    <row r="32" customFormat="false" ht="18" hidden="false" customHeight="true" outlineLevel="0" collapsed="false">
      <c r="A32" s="16" t="s">
        <v>251</v>
      </c>
      <c r="B32" s="5" t="s">
        <v>250</v>
      </c>
      <c r="C32" s="6" t="s">
        <v>30</v>
      </c>
      <c r="D32" s="6" t="n">
        <v>3</v>
      </c>
      <c r="E32" s="6" t="n">
        <v>14</v>
      </c>
      <c r="F32" s="5" t="s">
        <v>250</v>
      </c>
      <c r="G32" s="5" t="s">
        <v>252</v>
      </c>
      <c r="H32" s="5" t="s">
        <v>89</v>
      </c>
      <c r="I32" s="24" t="n">
        <v>4</v>
      </c>
      <c r="J32" s="24" t="s">
        <v>20</v>
      </c>
    </row>
    <row r="33" customFormat="false" ht="160.5" hidden="false" customHeight="true" outlineLevel="0" collapsed="false">
      <c r="A33" s="21" t="s">
        <v>254</v>
      </c>
      <c r="B33" s="19" t="s">
        <v>506</v>
      </c>
      <c r="C33" s="18" t="s">
        <v>32</v>
      </c>
      <c r="D33" s="18" t="n">
        <v>3</v>
      </c>
      <c r="E33" s="18" t="n">
        <v>15</v>
      </c>
      <c r="F33" s="19" t="s">
        <v>507</v>
      </c>
      <c r="G33" s="19" t="s">
        <v>508</v>
      </c>
      <c r="H33" s="19" t="s">
        <v>255</v>
      </c>
      <c r="I33" s="24" t="n">
        <v>30</v>
      </c>
      <c r="J33" s="24" t="s">
        <v>20</v>
      </c>
    </row>
    <row r="34" customFormat="false" ht="15" hidden="false" customHeight="false" outlineLevel="0" collapsed="false">
      <c r="H34" s="9" t="s">
        <v>509</v>
      </c>
      <c r="I34" s="8" t="n">
        <f aca="false">SUM(I5:I33)</f>
        <v>169</v>
      </c>
    </row>
  </sheetData>
  <autoFilter ref="A4:J4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J5:J33" type="list">
      <formula1>"Not started,Storyboarding,In review,Built,Published"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510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4" t="s">
        <v>511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4" t="s">
        <v>512</v>
      </c>
      <c r="B4" s="4" t="s">
        <v>266</v>
      </c>
      <c r="C4" s="4" t="s">
        <v>267</v>
      </c>
      <c r="D4" s="4" t="s">
        <v>513</v>
      </c>
      <c r="E4" s="4" t="s">
        <v>501</v>
      </c>
      <c r="F4" s="4" t="s">
        <v>514</v>
      </c>
      <c r="G4" s="4" t="s">
        <v>515</v>
      </c>
      <c r="H4" s="4" t="s">
        <v>16</v>
      </c>
    </row>
    <row r="5" customFormat="false" ht="18" hidden="false" customHeight="true" outlineLevel="0" collapsed="false">
      <c r="A5" s="26" t="s">
        <v>92</v>
      </c>
      <c r="B5" s="5" t="s">
        <v>516</v>
      </c>
      <c r="C5" s="6" t="s">
        <v>33</v>
      </c>
      <c r="D5" s="6" t="n">
        <v>1</v>
      </c>
      <c r="E5" s="5" t="s">
        <v>87</v>
      </c>
      <c r="F5" s="5" t="s">
        <v>91</v>
      </c>
      <c r="G5" s="25"/>
      <c r="H5" s="24" t="s">
        <v>20</v>
      </c>
    </row>
    <row r="6" customFormat="false" ht="30.75" hidden="false" customHeight="true" outlineLevel="0" collapsed="false">
      <c r="A6" s="26" t="s">
        <v>517</v>
      </c>
      <c r="B6" s="5" t="s">
        <v>518</v>
      </c>
      <c r="C6" s="6" t="s">
        <v>33</v>
      </c>
      <c r="D6" s="6" t="n">
        <v>1</v>
      </c>
      <c r="E6" s="5" t="s">
        <v>519</v>
      </c>
      <c r="F6" s="5" t="s">
        <v>89</v>
      </c>
      <c r="G6" s="25"/>
      <c r="H6" s="24" t="s">
        <v>20</v>
      </c>
    </row>
    <row r="7" customFormat="false" ht="18" hidden="false" customHeight="true" outlineLevel="0" collapsed="false">
      <c r="A7" s="27" t="s">
        <v>93</v>
      </c>
      <c r="B7" s="19" t="s">
        <v>520</v>
      </c>
      <c r="C7" s="18" t="s">
        <v>34</v>
      </c>
      <c r="D7" s="18" t="n">
        <v>1</v>
      </c>
      <c r="E7" s="19" t="s">
        <v>87</v>
      </c>
      <c r="F7" s="19" t="s">
        <v>91</v>
      </c>
      <c r="G7" s="25"/>
      <c r="H7" s="24" t="s">
        <v>20</v>
      </c>
    </row>
    <row r="8" customFormat="false" ht="18" hidden="false" customHeight="true" outlineLevel="0" collapsed="false">
      <c r="A8" s="26" t="s">
        <v>106</v>
      </c>
      <c r="B8" s="5" t="s">
        <v>521</v>
      </c>
      <c r="C8" s="6" t="s">
        <v>33</v>
      </c>
      <c r="D8" s="6" t="n">
        <v>2</v>
      </c>
      <c r="E8" s="5" t="s">
        <v>103</v>
      </c>
      <c r="F8" s="5" t="s">
        <v>105</v>
      </c>
      <c r="G8" s="25"/>
      <c r="H8" s="24" t="s">
        <v>20</v>
      </c>
    </row>
    <row r="9" customFormat="false" ht="30.75" hidden="false" customHeight="true" outlineLevel="0" collapsed="false">
      <c r="A9" s="26" t="s">
        <v>112</v>
      </c>
      <c r="B9" s="5" t="s">
        <v>522</v>
      </c>
      <c r="C9" s="6" t="s">
        <v>33</v>
      </c>
      <c r="D9" s="6" t="n">
        <v>2</v>
      </c>
      <c r="E9" s="5" t="s">
        <v>523</v>
      </c>
      <c r="F9" s="5" t="s">
        <v>111</v>
      </c>
      <c r="G9" s="25"/>
      <c r="H9" s="24" t="s">
        <v>20</v>
      </c>
    </row>
    <row r="10" customFormat="false" ht="18" hidden="false" customHeight="true" outlineLevel="0" collapsed="false">
      <c r="A10" s="26" t="s">
        <v>99</v>
      </c>
      <c r="B10" s="5" t="s">
        <v>524</v>
      </c>
      <c r="C10" s="6" t="s">
        <v>33</v>
      </c>
      <c r="D10" s="6" t="n">
        <v>2</v>
      </c>
      <c r="E10" s="5" t="s">
        <v>95</v>
      </c>
      <c r="F10" s="5" t="s">
        <v>98</v>
      </c>
      <c r="G10" s="25"/>
      <c r="H10" s="24" t="s">
        <v>20</v>
      </c>
    </row>
    <row r="11" customFormat="false" ht="18" hidden="false" customHeight="true" outlineLevel="0" collapsed="false">
      <c r="A11" s="27" t="s">
        <v>114</v>
      </c>
      <c r="B11" s="19" t="s">
        <v>525</v>
      </c>
      <c r="C11" s="18" t="s">
        <v>34</v>
      </c>
      <c r="D11" s="18" t="n">
        <v>2</v>
      </c>
      <c r="E11" s="19" t="s">
        <v>113</v>
      </c>
      <c r="F11" s="19" t="s">
        <v>111</v>
      </c>
      <c r="G11" s="25"/>
      <c r="H11" s="24" t="s">
        <v>20</v>
      </c>
    </row>
    <row r="12" customFormat="false" ht="18" hidden="false" customHeight="true" outlineLevel="0" collapsed="false">
      <c r="A12" s="27" t="s">
        <v>107</v>
      </c>
      <c r="B12" s="19" t="s">
        <v>526</v>
      </c>
      <c r="C12" s="18" t="s">
        <v>34</v>
      </c>
      <c r="D12" s="18" t="n">
        <v>2</v>
      </c>
      <c r="E12" s="19" t="s">
        <v>103</v>
      </c>
      <c r="F12" s="19" t="s">
        <v>105</v>
      </c>
      <c r="G12" s="25"/>
      <c r="H12" s="24" t="s">
        <v>20</v>
      </c>
    </row>
    <row r="13" customFormat="false" ht="18" hidden="false" customHeight="true" outlineLevel="0" collapsed="false">
      <c r="A13" s="26" t="s">
        <v>126</v>
      </c>
      <c r="B13" s="5" t="s">
        <v>527</v>
      </c>
      <c r="C13" s="6" t="s">
        <v>33</v>
      </c>
      <c r="D13" s="6" t="n">
        <v>3</v>
      </c>
      <c r="E13" s="5" t="s">
        <v>125</v>
      </c>
      <c r="F13" s="5" t="s">
        <v>124</v>
      </c>
      <c r="G13" s="25"/>
      <c r="H13" s="24" t="s">
        <v>20</v>
      </c>
    </row>
    <row r="14" customFormat="false" ht="30.75" hidden="false" customHeight="true" outlineLevel="0" collapsed="false">
      <c r="A14" s="26" t="s">
        <v>118</v>
      </c>
      <c r="B14" s="5" t="s">
        <v>528</v>
      </c>
      <c r="C14" s="6" t="s">
        <v>33</v>
      </c>
      <c r="D14" s="6" t="n">
        <v>3</v>
      </c>
      <c r="E14" s="5" t="s">
        <v>529</v>
      </c>
      <c r="F14" s="5" t="s">
        <v>117</v>
      </c>
      <c r="G14" s="25"/>
      <c r="H14" s="24" t="s">
        <v>20</v>
      </c>
    </row>
    <row r="15" customFormat="false" ht="30.75" hidden="false" customHeight="true" outlineLevel="0" collapsed="false">
      <c r="A15" s="26" t="s">
        <v>131</v>
      </c>
      <c r="B15" s="5" t="s">
        <v>530</v>
      </c>
      <c r="C15" s="6" t="s">
        <v>33</v>
      </c>
      <c r="D15" s="6" t="n">
        <v>3</v>
      </c>
      <c r="E15" s="5" t="s">
        <v>128</v>
      </c>
      <c r="F15" s="5" t="s">
        <v>130</v>
      </c>
      <c r="G15" s="25"/>
      <c r="H15" s="24" t="s">
        <v>20</v>
      </c>
    </row>
    <row r="16" customFormat="false" ht="18" hidden="false" customHeight="true" outlineLevel="0" collapsed="false">
      <c r="A16" s="27" t="s">
        <v>121</v>
      </c>
      <c r="B16" s="19" t="s">
        <v>531</v>
      </c>
      <c r="C16" s="18" t="s">
        <v>34</v>
      </c>
      <c r="D16" s="18" t="n">
        <v>3</v>
      </c>
      <c r="E16" s="19" t="s">
        <v>119</v>
      </c>
      <c r="F16" s="19" t="s">
        <v>120</v>
      </c>
      <c r="G16" s="25"/>
      <c r="H16" s="24" t="s">
        <v>20</v>
      </c>
    </row>
    <row r="17" customFormat="false" ht="18" hidden="false" customHeight="true" outlineLevel="0" collapsed="false">
      <c r="A17" s="27" t="s">
        <v>127</v>
      </c>
      <c r="B17" s="19" t="s">
        <v>532</v>
      </c>
      <c r="C17" s="18" t="s">
        <v>34</v>
      </c>
      <c r="D17" s="18" t="n">
        <v>3</v>
      </c>
      <c r="E17" s="19" t="s">
        <v>125</v>
      </c>
      <c r="F17" s="19" t="s">
        <v>124</v>
      </c>
      <c r="G17" s="25"/>
      <c r="H17" s="24" t="s">
        <v>20</v>
      </c>
    </row>
    <row r="18" customFormat="false" ht="30.75" hidden="false" customHeight="true" outlineLevel="0" collapsed="false">
      <c r="A18" s="26" t="s">
        <v>149</v>
      </c>
      <c r="B18" s="5" t="s">
        <v>533</v>
      </c>
      <c r="C18" s="6" t="s">
        <v>33</v>
      </c>
      <c r="D18" s="6" t="n">
        <v>4</v>
      </c>
      <c r="E18" s="5" t="s">
        <v>147</v>
      </c>
      <c r="F18" s="5" t="s">
        <v>148</v>
      </c>
      <c r="G18" s="25"/>
      <c r="H18" s="24" t="s">
        <v>20</v>
      </c>
    </row>
    <row r="19" customFormat="false" ht="18" hidden="false" customHeight="true" outlineLevel="0" collapsed="false">
      <c r="A19" s="26" t="s">
        <v>140</v>
      </c>
      <c r="B19" s="5" t="s">
        <v>534</v>
      </c>
      <c r="C19" s="6" t="s">
        <v>33</v>
      </c>
      <c r="D19" s="6" t="n">
        <v>4</v>
      </c>
      <c r="E19" s="5" t="s">
        <v>138</v>
      </c>
      <c r="F19" s="5" t="s">
        <v>139</v>
      </c>
      <c r="G19" s="25"/>
      <c r="H19" s="24" t="s">
        <v>20</v>
      </c>
    </row>
    <row r="20" customFormat="false" ht="18" hidden="false" customHeight="true" outlineLevel="0" collapsed="false">
      <c r="A20" s="26" t="s">
        <v>146</v>
      </c>
      <c r="B20" s="5" t="s">
        <v>535</v>
      </c>
      <c r="C20" s="6" t="s">
        <v>33</v>
      </c>
      <c r="D20" s="6" t="n">
        <v>4</v>
      </c>
      <c r="E20" s="5" t="s">
        <v>143</v>
      </c>
      <c r="F20" s="5" t="s">
        <v>145</v>
      </c>
      <c r="G20" s="25"/>
      <c r="H20" s="24" t="s">
        <v>20</v>
      </c>
    </row>
    <row r="21" customFormat="false" ht="18" hidden="false" customHeight="true" outlineLevel="0" collapsed="false">
      <c r="A21" s="27" t="s">
        <v>150</v>
      </c>
      <c r="B21" s="19" t="s">
        <v>536</v>
      </c>
      <c r="C21" s="18" t="s">
        <v>34</v>
      </c>
      <c r="D21" s="18" t="n">
        <v>4</v>
      </c>
      <c r="E21" s="19" t="s">
        <v>147</v>
      </c>
      <c r="F21" s="19" t="s">
        <v>148</v>
      </c>
      <c r="G21" s="25"/>
      <c r="H21" s="24" t="s">
        <v>20</v>
      </c>
    </row>
    <row r="22" customFormat="false" ht="18" hidden="false" customHeight="true" outlineLevel="0" collapsed="false">
      <c r="A22" s="27" t="s">
        <v>141</v>
      </c>
      <c r="B22" s="19" t="s">
        <v>537</v>
      </c>
      <c r="C22" s="18" t="s">
        <v>34</v>
      </c>
      <c r="D22" s="18" t="n">
        <v>4</v>
      </c>
      <c r="E22" s="19" t="s">
        <v>138</v>
      </c>
      <c r="F22" s="19" t="s">
        <v>139</v>
      </c>
      <c r="G22" s="25"/>
      <c r="H22" s="24" t="s">
        <v>20</v>
      </c>
    </row>
    <row r="23" customFormat="false" ht="18" hidden="false" customHeight="true" outlineLevel="0" collapsed="false">
      <c r="A23" s="26" t="s">
        <v>157</v>
      </c>
      <c r="B23" s="5" t="s">
        <v>538</v>
      </c>
      <c r="C23" s="6" t="s">
        <v>33</v>
      </c>
      <c r="D23" s="6" t="n">
        <v>5</v>
      </c>
      <c r="E23" s="5" t="s">
        <v>155</v>
      </c>
      <c r="F23" s="5" t="s">
        <v>156</v>
      </c>
      <c r="G23" s="25"/>
      <c r="H23" s="24" t="s">
        <v>20</v>
      </c>
    </row>
    <row r="24" customFormat="false" ht="18" hidden="false" customHeight="true" outlineLevel="0" collapsed="false">
      <c r="A24" s="26" t="s">
        <v>165</v>
      </c>
      <c r="B24" s="5" t="s">
        <v>539</v>
      </c>
      <c r="C24" s="6" t="s">
        <v>33</v>
      </c>
      <c r="D24" s="6" t="n">
        <v>5</v>
      </c>
      <c r="E24" s="5" t="s">
        <v>163</v>
      </c>
      <c r="F24" s="5" t="s">
        <v>164</v>
      </c>
      <c r="G24" s="25"/>
      <c r="H24" s="24" t="s">
        <v>20</v>
      </c>
    </row>
    <row r="25" customFormat="false" ht="18" hidden="false" customHeight="true" outlineLevel="0" collapsed="false">
      <c r="A25" s="26" t="s">
        <v>154</v>
      </c>
      <c r="B25" s="5" t="s">
        <v>540</v>
      </c>
      <c r="C25" s="6" t="s">
        <v>33</v>
      </c>
      <c r="D25" s="6" t="n">
        <v>5</v>
      </c>
      <c r="E25" s="5" t="s">
        <v>151</v>
      </c>
      <c r="F25" s="5" t="s">
        <v>153</v>
      </c>
      <c r="G25" s="25"/>
      <c r="H25" s="24" t="s">
        <v>20</v>
      </c>
    </row>
    <row r="26" customFormat="false" ht="18" hidden="false" customHeight="true" outlineLevel="0" collapsed="false">
      <c r="A26" s="26" t="s">
        <v>162</v>
      </c>
      <c r="B26" s="5" t="s">
        <v>541</v>
      </c>
      <c r="C26" s="6" t="s">
        <v>33</v>
      </c>
      <c r="D26" s="6" t="n">
        <v>5</v>
      </c>
      <c r="E26" s="5" t="s">
        <v>159</v>
      </c>
      <c r="F26" s="5" t="s">
        <v>161</v>
      </c>
      <c r="G26" s="25"/>
      <c r="H26" s="24" t="s">
        <v>20</v>
      </c>
    </row>
    <row r="27" customFormat="false" ht="18" hidden="false" customHeight="true" outlineLevel="0" collapsed="false">
      <c r="A27" s="27" t="s">
        <v>158</v>
      </c>
      <c r="B27" s="19" t="s">
        <v>542</v>
      </c>
      <c r="C27" s="18" t="s">
        <v>34</v>
      </c>
      <c r="D27" s="18" t="n">
        <v>5</v>
      </c>
      <c r="E27" s="19" t="s">
        <v>155</v>
      </c>
      <c r="F27" s="19" t="s">
        <v>156</v>
      </c>
      <c r="G27" s="25"/>
      <c r="H27" s="24" t="s">
        <v>20</v>
      </c>
    </row>
    <row r="28" customFormat="false" ht="18" hidden="false" customHeight="true" outlineLevel="0" collapsed="false">
      <c r="A28" s="27" t="s">
        <v>166</v>
      </c>
      <c r="B28" s="19" t="s">
        <v>543</v>
      </c>
      <c r="C28" s="18" t="s">
        <v>34</v>
      </c>
      <c r="D28" s="18" t="n">
        <v>5</v>
      </c>
      <c r="E28" s="19" t="s">
        <v>163</v>
      </c>
      <c r="F28" s="19" t="s">
        <v>164</v>
      </c>
      <c r="G28" s="25"/>
      <c r="H28" s="24" t="s">
        <v>20</v>
      </c>
    </row>
    <row r="29" customFormat="false" ht="30.75" hidden="false" customHeight="true" outlineLevel="0" collapsed="false">
      <c r="A29" s="26" t="s">
        <v>169</v>
      </c>
      <c r="B29" s="5" t="s">
        <v>544</v>
      </c>
      <c r="C29" s="6" t="s">
        <v>33</v>
      </c>
      <c r="D29" s="6" t="n">
        <v>6</v>
      </c>
      <c r="E29" s="5" t="s">
        <v>545</v>
      </c>
      <c r="F29" s="5" t="s">
        <v>89</v>
      </c>
      <c r="G29" s="25"/>
      <c r="H29" s="24" t="s">
        <v>20</v>
      </c>
    </row>
    <row r="30" customFormat="false" ht="30.75" hidden="false" customHeight="true" outlineLevel="0" collapsed="false">
      <c r="A30" s="26" t="s">
        <v>181</v>
      </c>
      <c r="B30" s="5" t="s">
        <v>546</v>
      </c>
      <c r="C30" s="6" t="s">
        <v>33</v>
      </c>
      <c r="D30" s="6" t="n">
        <v>6</v>
      </c>
      <c r="E30" s="5" t="s">
        <v>178</v>
      </c>
      <c r="F30" s="5" t="s">
        <v>180</v>
      </c>
      <c r="G30" s="25"/>
      <c r="H30" s="24" t="s">
        <v>20</v>
      </c>
    </row>
    <row r="31" customFormat="false" ht="30.75" hidden="false" customHeight="true" outlineLevel="0" collapsed="false">
      <c r="A31" s="26" t="s">
        <v>174</v>
      </c>
      <c r="B31" s="5" t="s">
        <v>547</v>
      </c>
      <c r="C31" s="6" t="s">
        <v>33</v>
      </c>
      <c r="D31" s="6" t="n">
        <v>6</v>
      </c>
      <c r="E31" s="5" t="s">
        <v>171</v>
      </c>
      <c r="F31" s="5" t="s">
        <v>173</v>
      </c>
      <c r="G31" s="25"/>
      <c r="H31" s="24" t="s">
        <v>20</v>
      </c>
    </row>
    <row r="32" customFormat="false" ht="18" hidden="false" customHeight="true" outlineLevel="0" collapsed="false">
      <c r="A32" s="26" t="s">
        <v>185</v>
      </c>
      <c r="B32" s="5" t="s">
        <v>548</v>
      </c>
      <c r="C32" s="6" t="s">
        <v>33</v>
      </c>
      <c r="D32" s="6" t="n">
        <v>7</v>
      </c>
      <c r="E32" s="5" t="s">
        <v>182</v>
      </c>
      <c r="F32" s="5" t="s">
        <v>184</v>
      </c>
      <c r="G32" s="25"/>
      <c r="H32" s="24" t="s">
        <v>20</v>
      </c>
    </row>
    <row r="33" customFormat="false" ht="18" hidden="false" customHeight="true" outlineLevel="0" collapsed="false">
      <c r="A33" s="26" t="s">
        <v>192</v>
      </c>
      <c r="B33" s="5" t="s">
        <v>549</v>
      </c>
      <c r="C33" s="6" t="s">
        <v>33</v>
      </c>
      <c r="D33" s="6" t="n">
        <v>7</v>
      </c>
      <c r="E33" s="5" t="s">
        <v>190</v>
      </c>
      <c r="F33" s="5" t="s">
        <v>191</v>
      </c>
      <c r="G33" s="25"/>
      <c r="H33" s="24" t="s">
        <v>20</v>
      </c>
    </row>
    <row r="34" customFormat="false" ht="18" hidden="false" customHeight="true" outlineLevel="0" collapsed="false">
      <c r="A34" s="26" t="s">
        <v>189</v>
      </c>
      <c r="B34" s="5" t="s">
        <v>550</v>
      </c>
      <c r="C34" s="6" t="s">
        <v>33</v>
      </c>
      <c r="D34" s="6" t="n">
        <v>7</v>
      </c>
      <c r="E34" s="5" t="s">
        <v>186</v>
      </c>
      <c r="F34" s="5" t="s">
        <v>188</v>
      </c>
      <c r="G34" s="25"/>
      <c r="H34" s="24" t="s">
        <v>20</v>
      </c>
    </row>
    <row r="35" customFormat="false" ht="18" hidden="false" customHeight="true" outlineLevel="0" collapsed="false">
      <c r="A35" s="27" t="s">
        <v>193</v>
      </c>
      <c r="B35" s="19" t="s">
        <v>551</v>
      </c>
      <c r="C35" s="18" t="s">
        <v>34</v>
      </c>
      <c r="D35" s="18" t="n">
        <v>7</v>
      </c>
      <c r="E35" s="19" t="s">
        <v>190</v>
      </c>
      <c r="F35" s="19" t="s">
        <v>191</v>
      </c>
      <c r="G35" s="25"/>
      <c r="H35" s="24" t="s">
        <v>20</v>
      </c>
    </row>
    <row r="36" customFormat="false" ht="18" hidden="false" customHeight="true" outlineLevel="0" collapsed="false">
      <c r="A36" s="26" t="s">
        <v>197</v>
      </c>
      <c r="B36" s="5" t="s">
        <v>552</v>
      </c>
      <c r="C36" s="6" t="s">
        <v>33</v>
      </c>
      <c r="D36" s="6" t="n">
        <v>8</v>
      </c>
      <c r="E36" s="5" t="s">
        <v>196</v>
      </c>
      <c r="F36" s="5" t="s">
        <v>89</v>
      </c>
      <c r="G36" s="25"/>
      <c r="H36" s="24" t="s">
        <v>20</v>
      </c>
    </row>
    <row r="37" customFormat="false" ht="18" hidden="false" customHeight="true" outlineLevel="0" collapsed="false">
      <c r="A37" s="26" t="s">
        <v>194</v>
      </c>
      <c r="B37" s="5" t="s">
        <v>549</v>
      </c>
      <c r="C37" s="6" t="s">
        <v>33</v>
      </c>
      <c r="D37" s="6" t="n">
        <v>8</v>
      </c>
      <c r="E37" s="5" t="s">
        <v>190</v>
      </c>
      <c r="F37" s="5" t="s">
        <v>191</v>
      </c>
      <c r="G37" s="25"/>
      <c r="H37" s="24" t="s">
        <v>20</v>
      </c>
    </row>
    <row r="38" customFormat="false" ht="18" hidden="false" customHeight="true" outlineLevel="0" collapsed="false">
      <c r="A38" s="27" t="s">
        <v>195</v>
      </c>
      <c r="B38" s="19" t="s">
        <v>553</v>
      </c>
      <c r="C38" s="18" t="s">
        <v>34</v>
      </c>
      <c r="D38" s="18" t="n">
        <v>8</v>
      </c>
      <c r="E38" s="19" t="s">
        <v>190</v>
      </c>
      <c r="F38" s="19" t="s">
        <v>191</v>
      </c>
      <c r="G38" s="25"/>
      <c r="H38" s="24" t="s">
        <v>20</v>
      </c>
    </row>
    <row r="39" customFormat="false" ht="18" hidden="false" customHeight="true" outlineLevel="0" collapsed="false">
      <c r="A39" s="26" t="s">
        <v>204</v>
      </c>
      <c r="B39" s="5" t="s">
        <v>554</v>
      </c>
      <c r="C39" s="6" t="s">
        <v>33</v>
      </c>
      <c r="D39" s="6" t="n">
        <v>9</v>
      </c>
      <c r="E39" s="5" t="s">
        <v>202</v>
      </c>
      <c r="F39" s="5" t="s">
        <v>203</v>
      </c>
      <c r="G39" s="25"/>
      <c r="H39" s="24" t="s">
        <v>20</v>
      </c>
    </row>
    <row r="40" customFormat="false" ht="18" hidden="false" customHeight="true" outlineLevel="0" collapsed="false">
      <c r="A40" s="26" t="s">
        <v>201</v>
      </c>
      <c r="B40" s="5" t="s">
        <v>555</v>
      </c>
      <c r="C40" s="6" t="s">
        <v>33</v>
      </c>
      <c r="D40" s="6" t="n">
        <v>9</v>
      </c>
      <c r="E40" s="5" t="s">
        <v>198</v>
      </c>
      <c r="F40" s="5" t="s">
        <v>200</v>
      </c>
      <c r="G40" s="25"/>
      <c r="H40" s="24" t="s">
        <v>20</v>
      </c>
    </row>
    <row r="41" customFormat="false" ht="30.75" hidden="false" customHeight="true" outlineLevel="0" collapsed="false">
      <c r="A41" s="26" t="s">
        <v>209</v>
      </c>
      <c r="B41" s="5" t="s">
        <v>556</v>
      </c>
      <c r="C41" s="6" t="s">
        <v>33</v>
      </c>
      <c r="D41" s="6" t="n">
        <v>9</v>
      </c>
      <c r="E41" s="5" t="s">
        <v>206</v>
      </c>
      <c r="F41" s="5" t="s">
        <v>208</v>
      </c>
      <c r="G41" s="25"/>
      <c r="H41" s="24" t="s">
        <v>20</v>
      </c>
    </row>
    <row r="42" customFormat="false" ht="30.75" hidden="false" customHeight="true" outlineLevel="0" collapsed="false">
      <c r="A42" s="26" t="s">
        <v>213</v>
      </c>
      <c r="B42" s="5" t="s">
        <v>557</v>
      </c>
      <c r="C42" s="6" t="s">
        <v>33</v>
      </c>
      <c r="D42" s="6" t="n">
        <v>9</v>
      </c>
      <c r="E42" s="5" t="s">
        <v>210</v>
      </c>
      <c r="F42" s="5" t="s">
        <v>212</v>
      </c>
      <c r="G42" s="25"/>
      <c r="H42" s="24" t="s">
        <v>20</v>
      </c>
    </row>
    <row r="43" customFormat="false" ht="18" hidden="false" customHeight="true" outlineLevel="0" collapsed="false">
      <c r="A43" s="27" t="s">
        <v>205</v>
      </c>
      <c r="B43" s="19" t="s">
        <v>558</v>
      </c>
      <c r="C43" s="18" t="s">
        <v>34</v>
      </c>
      <c r="D43" s="18" t="n">
        <v>9</v>
      </c>
      <c r="E43" s="19" t="s">
        <v>202</v>
      </c>
      <c r="F43" s="19" t="s">
        <v>203</v>
      </c>
      <c r="G43" s="25"/>
      <c r="H43" s="24" t="s">
        <v>20</v>
      </c>
    </row>
    <row r="44" customFormat="false" ht="30.75" hidden="false" customHeight="true" outlineLevel="0" collapsed="false">
      <c r="A44" s="26" t="s">
        <v>220</v>
      </c>
      <c r="B44" s="5" t="s">
        <v>559</v>
      </c>
      <c r="C44" s="6" t="s">
        <v>33</v>
      </c>
      <c r="D44" s="6" t="n">
        <v>10</v>
      </c>
      <c r="E44" s="5" t="s">
        <v>560</v>
      </c>
      <c r="F44" s="5" t="s">
        <v>89</v>
      </c>
      <c r="G44" s="25"/>
      <c r="H44" s="24" t="s">
        <v>20</v>
      </c>
    </row>
    <row r="45" customFormat="false" ht="30.75" hidden="false" customHeight="true" outlineLevel="0" collapsed="false">
      <c r="A45" s="26" t="s">
        <v>216</v>
      </c>
      <c r="B45" s="5" t="s">
        <v>561</v>
      </c>
      <c r="C45" s="6" t="s">
        <v>33</v>
      </c>
      <c r="D45" s="6" t="n">
        <v>10</v>
      </c>
      <c r="E45" s="5" t="s">
        <v>214</v>
      </c>
      <c r="F45" s="5" t="s">
        <v>215</v>
      </c>
      <c r="G45" s="25"/>
      <c r="H45" s="24" t="s">
        <v>20</v>
      </c>
    </row>
    <row r="46" customFormat="false" ht="18" hidden="false" customHeight="true" outlineLevel="0" collapsed="false">
      <c r="A46" s="27" t="s">
        <v>217</v>
      </c>
      <c r="B46" s="19" t="s">
        <v>562</v>
      </c>
      <c r="C46" s="18" t="s">
        <v>34</v>
      </c>
      <c r="D46" s="18" t="n">
        <v>10</v>
      </c>
      <c r="E46" s="19" t="s">
        <v>214</v>
      </c>
      <c r="F46" s="19" t="s">
        <v>215</v>
      </c>
      <c r="G46" s="25"/>
      <c r="H46" s="24" t="s">
        <v>20</v>
      </c>
    </row>
    <row r="47" customFormat="false" ht="30.75" hidden="false" customHeight="true" outlineLevel="0" collapsed="false">
      <c r="A47" s="26" t="s">
        <v>225</v>
      </c>
      <c r="B47" s="5" t="s">
        <v>563</v>
      </c>
      <c r="C47" s="6" t="s">
        <v>33</v>
      </c>
      <c r="D47" s="6" t="n">
        <v>11</v>
      </c>
      <c r="E47" s="5" t="s">
        <v>564</v>
      </c>
      <c r="F47" s="5" t="s">
        <v>565</v>
      </c>
      <c r="G47" s="25"/>
      <c r="H47" s="24" t="s">
        <v>20</v>
      </c>
    </row>
    <row r="48" customFormat="false" ht="18" hidden="false" customHeight="true" outlineLevel="0" collapsed="false">
      <c r="A48" s="27" t="s">
        <v>228</v>
      </c>
      <c r="B48" s="19" t="s">
        <v>566</v>
      </c>
      <c r="C48" s="18" t="s">
        <v>34</v>
      </c>
      <c r="D48" s="18" t="n">
        <v>11</v>
      </c>
      <c r="E48" s="19" t="s">
        <v>226</v>
      </c>
      <c r="F48" s="19" t="s">
        <v>227</v>
      </c>
      <c r="G48" s="25"/>
      <c r="H48" s="24" t="s">
        <v>20</v>
      </c>
    </row>
    <row r="49" customFormat="false" ht="18" hidden="false" customHeight="true" outlineLevel="0" collapsed="false">
      <c r="A49" s="26" t="s">
        <v>236</v>
      </c>
      <c r="B49" s="5" t="s">
        <v>552</v>
      </c>
      <c r="C49" s="6" t="s">
        <v>33</v>
      </c>
      <c r="D49" s="6" t="n">
        <v>12</v>
      </c>
      <c r="E49" s="5" t="s">
        <v>196</v>
      </c>
      <c r="F49" s="5" t="s">
        <v>89</v>
      </c>
      <c r="G49" s="25"/>
      <c r="H49" s="24" t="s">
        <v>20</v>
      </c>
    </row>
    <row r="50" customFormat="false" ht="30.75" hidden="false" customHeight="true" outlineLevel="0" collapsed="false">
      <c r="A50" s="26" t="s">
        <v>234</v>
      </c>
      <c r="B50" s="5" t="s">
        <v>567</v>
      </c>
      <c r="C50" s="6" t="s">
        <v>33</v>
      </c>
      <c r="D50" s="6" t="n">
        <v>12</v>
      </c>
      <c r="E50" s="5" t="s">
        <v>232</v>
      </c>
      <c r="F50" s="5" t="s">
        <v>233</v>
      </c>
      <c r="G50" s="25"/>
      <c r="H50" s="24" t="s">
        <v>20</v>
      </c>
    </row>
    <row r="51" customFormat="false" ht="30.75" hidden="false" customHeight="true" outlineLevel="0" collapsed="false">
      <c r="A51" s="27" t="s">
        <v>235</v>
      </c>
      <c r="B51" s="19" t="s">
        <v>568</v>
      </c>
      <c r="C51" s="18" t="s">
        <v>34</v>
      </c>
      <c r="D51" s="18" t="n">
        <v>12</v>
      </c>
      <c r="E51" s="19" t="s">
        <v>232</v>
      </c>
      <c r="F51" s="19" t="s">
        <v>233</v>
      </c>
      <c r="G51" s="25"/>
      <c r="H51" s="24" t="s">
        <v>20</v>
      </c>
    </row>
    <row r="52" customFormat="false" ht="18" hidden="false" customHeight="true" outlineLevel="0" collapsed="false">
      <c r="A52" s="26" t="s">
        <v>238</v>
      </c>
      <c r="B52" s="5" t="s">
        <v>567</v>
      </c>
      <c r="C52" s="6" t="s">
        <v>33</v>
      </c>
      <c r="D52" s="6" t="n">
        <v>13</v>
      </c>
      <c r="E52" s="5" t="s">
        <v>232</v>
      </c>
      <c r="F52" s="5" t="s">
        <v>237</v>
      </c>
      <c r="G52" s="25"/>
      <c r="H52" s="24" t="s">
        <v>20</v>
      </c>
    </row>
    <row r="53" customFormat="false" ht="30.75" hidden="false" customHeight="true" outlineLevel="0" collapsed="false">
      <c r="A53" s="26" t="s">
        <v>245</v>
      </c>
      <c r="B53" s="5" t="s">
        <v>569</v>
      </c>
      <c r="C53" s="6" t="s">
        <v>33</v>
      </c>
      <c r="D53" s="6" t="n">
        <v>13</v>
      </c>
      <c r="E53" s="5" t="s">
        <v>243</v>
      </c>
      <c r="F53" s="5" t="s">
        <v>244</v>
      </c>
      <c r="G53" s="25"/>
      <c r="H53" s="24" t="s">
        <v>20</v>
      </c>
    </row>
    <row r="54" customFormat="false" ht="18" hidden="false" customHeight="true" outlineLevel="0" collapsed="false">
      <c r="A54" s="26" t="s">
        <v>242</v>
      </c>
      <c r="B54" s="5" t="s">
        <v>570</v>
      </c>
      <c r="C54" s="6" t="s">
        <v>33</v>
      </c>
      <c r="D54" s="6" t="n">
        <v>13</v>
      </c>
      <c r="E54" s="5" t="s">
        <v>240</v>
      </c>
      <c r="F54" s="5" t="s">
        <v>241</v>
      </c>
      <c r="G54" s="25"/>
      <c r="H54" s="24" t="s">
        <v>20</v>
      </c>
    </row>
    <row r="55" customFormat="false" ht="30.75" hidden="false" customHeight="true" outlineLevel="0" collapsed="false">
      <c r="A55" s="27" t="s">
        <v>239</v>
      </c>
      <c r="B55" s="19" t="s">
        <v>571</v>
      </c>
      <c r="C55" s="18" t="s">
        <v>34</v>
      </c>
      <c r="D55" s="18" t="n">
        <v>13</v>
      </c>
      <c r="E55" s="19" t="s">
        <v>232</v>
      </c>
      <c r="F55" s="19" t="s">
        <v>237</v>
      </c>
      <c r="G55" s="25"/>
      <c r="H55" s="24" t="s">
        <v>20</v>
      </c>
    </row>
    <row r="56" customFormat="false" ht="30.75" hidden="false" customHeight="true" outlineLevel="0" collapsed="false">
      <c r="A56" s="26" t="s">
        <v>248</v>
      </c>
      <c r="B56" s="5" t="s">
        <v>572</v>
      </c>
      <c r="C56" s="6" t="s">
        <v>33</v>
      </c>
      <c r="D56" s="6" t="n">
        <v>14</v>
      </c>
      <c r="E56" s="5" t="s">
        <v>573</v>
      </c>
      <c r="F56" s="5" t="s">
        <v>247</v>
      </c>
      <c r="G56" s="25"/>
      <c r="H56" s="24" t="s">
        <v>20</v>
      </c>
    </row>
    <row r="57" customFormat="false" ht="30.75" hidden="false" customHeight="true" outlineLevel="0" collapsed="false">
      <c r="A57" s="26" t="s">
        <v>255</v>
      </c>
      <c r="B57" s="5" t="s">
        <v>574</v>
      </c>
      <c r="C57" s="6" t="s">
        <v>33</v>
      </c>
      <c r="D57" s="6" t="n">
        <v>15</v>
      </c>
      <c r="E57" s="5" t="s">
        <v>575</v>
      </c>
      <c r="F57" s="5" t="s">
        <v>89</v>
      </c>
      <c r="G57" s="25"/>
      <c r="H57" s="24" t="s">
        <v>20</v>
      </c>
    </row>
    <row r="58" customFormat="false" ht="30.75" hidden="false" customHeight="true" outlineLevel="0" collapsed="false">
      <c r="A58" s="26" t="s">
        <v>258</v>
      </c>
      <c r="B58" s="5" t="s">
        <v>576</v>
      </c>
      <c r="C58" s="6" t="s">
        <v>33</v>
      </c>
      <c r="D58" s="6" t="n">
        <v>15</v>
      </c>
      <c r="E58" s="5" t="s">
        <v>577</v>
      </c>
      <c r="F58" s="5" t="s">
        <v>89</v>
      </c>
      <c r="G58" s="25"/>
      <c r="H58" s="24" t="s">
        <v>20</v>
      </c>
    </row>
    <row r="59" customFormat="false" ht="18" hidden="false" customHeight="true" outlineLevel="0" collapsed="false">
      <c r="A59" s="26" t="s">
        <v>261</v>
      </c>
      <c r="B59" s="5" t="s">
        <v>578</v>
      </c>
      <c r="C59" s="6" t="s">
        <v>33</v>
      </c>
      <c r="D59" s="6" t="n">
        <v>15</v>
      </c>
      <c r="E59" s="5" t="s">
        <v>259</v>
      </c>
      <c r="F59" s="5" t="s">
        <v>260</v>
      </c>
      <c r="G59" s="25"/>
      <c r="H59" s="24" t="s">
        <v>20</v>
      </c>
    </row>
  </sheetData>
  <autoFilter ref="A4:H4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59" type="list">
      <formula1>"Not started,Drafting,In review,Approved,Published"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2026-10-26T08:21:55Z</dcterms:created>
  <dc:creator>openpyxl</dc:creator>
  <dc:description/>
  <dc:language>en-US</dc:language>
  <cp:lastModifiedBy/>
  <dcterms:modified xsi:type="dcterms:W3CDTF">2026-10-26T08:21:55Z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